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2k8414\Desktop\"/>
    </mc:Choice>
  </mc:AlternateContent>
  <xr:revisionPtr revIDLastSave="0" documentId="8_{92BB29B6-64CB-46F5-825D-6567AD28F7E5}" xr6:coauthVersionLast="47" xr6:coauthVersionMax="47" xr10:uidLastSave="{00000000-0000-0000-0000-000000000000}"/>
  <bookViews>
    <workbookView xWindow="-110" yWindow="-110" windowWidth="19420" windowHeight="11500" xr2:uid="{9E8081C0-9679-4E44-8967-218C3E3AFC82}"/>
  </bookViews>
  <sheets>
    <sheet name="Consumo Combustible" sheetId="1" r:id="rId1"/>
    <sheet name="Consumo GAS" sheetId="3" r:id="rId2"/>
    <sheet name="Consumo Eléctrico" sheetId="2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1" l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K29" i="1"/>
  <c r="K30" i="1"/>
  <c r="K31" i="1"/>
  <c r="J20" i="1"/>
  <c r="J21" i="1"/>
  <c r="J22" i="1"/>
  <c r="J23" i="1"/>
  <c r="J24" i="1"/>
  <c r="J25" i="1"/>
  <c r="I21" i="1"/>
  <c r="I22" i="1"/>
  <c r="I23" i="1"/>
  <c r="I24" i="1"/>
  <c r="I25" i="1"/>
  <c r="I26" i="1"/>
  <c r="I27" i="1"/>
  <c r="I28" i="1"/>
  <c r="I29" i="1"/>
  <c r="I30" i="1"/>
  <c r="I31" i="1"/>
  <c r="I20" i="1"/>
</calcChain>
</file>

<file path=xl/sharedStrings.xml><?xml version="1.0" encoding="utf-8"?>
<sst xmlns="http://schemas.openxmlformats.org/spreadsheetml/2006/main" count="122" uniqueCount="19">
  <si>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</si>
  <si>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</si>
  <si>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</si>
  <si>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</si>
  <si>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</si>
  <si>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</si>
  <si>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</si>
  <si>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</si>
  <si>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</si>
  <si>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</si>
  <si>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</si>
  <si>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</si>
  <si>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</si>
  <si>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Litros de Combustible</t>
  </si>
  <si>
    <t>Vuelos Totales</t>
  </si>
  <si>
    <t>Pasajeros</t>
  </si>
  <si>
    <t>Litros/Vuelos</t>
  </si>
  <si>
    <t>Consumo Eléctrico Total AEP</t>
  </si>
  <si>
    <t>Consumo Total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</si>
</sst>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8" formatCode="_-* #,##0_-;\-* #,##0_-;_-* &quot;-&quot;??_-;_-@_-"/>
    <numFmt numFmtId="177" formatCode="_-* #,##0.0000_-;\-* #,##0.0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0" fillId="3" borderId="1" xfId="0" applyNumberFormat="1" applyFill="1" applyBorder="1"/>
    <xf numFmtId="1" fontId="0" fillId="0" borderId="0" xfId="0" applyNumberFormat="1"/>
    <xf numFmtId="168" fontId="0" fillId="0" borderId="1" xfId="1" applyNumberFormat="1" applyFont="1" applyFill="1" applyBorder="1" applyAlignment="1">
      <alignment horizontal="center" vertical="center"/>
    </xf>
    <xf numFmtId="2" fontId="0" fillId="0" borderId="1" xfId="0" applyNumberFormat="1" applyBorder="1"/>
    <xf numFmtId="177" fontId="0" fillId="0" borderId="1" xfId="0" applyNumberFormat="1" applyFill="1" applyBorder="1" applyAlignment="1">
      <alignment horizontal="center"/>
    </xf>
    <xf numFmtId="177" fontId="0" fillId="3" borderId="1" xfId="0" applyNumberForma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'Consumo Combustible'!$B$39:$B$50</c:f>
              <c:numCache>
                <c:formatCode>General</c:formatCode>
                <c:ptCount val="12"/>
                <c:pt idx="0">
                  <c:v>10180</c:v>
                </c:pt>
                <c:pt idx="1">
                  <c:v>9062</c:v>
                </c:pt>
                <c:pt idx="2">
                  <c:v>10795</c:v>
                </c:pt>
                <c:pt idx="3">
                  <c:v>10376</c:v>
                </c:pt>
                <c:pt idx="4">
                  <c:v>10832</c:v>
                </c:pt>
                <c:pt idx="5">
                  <c:v>10648</c:v>
                </c:pt>
                <c:pt idx="6">
                  <c:v>11198</c:v>
                </c:pt>
                <c:pt idx="7">
                  <c:v>10834</c:v>
                </c:pt>
                <c:pt idx="8">
                  <c:v>10418</c:v>
                </c:pt>
                <c:pt idx="9">
                  <c:v>11266</c:v>
                </c:pt>
                <c:pt idx="10">
                  <c:v>11110</c:v>
                </c:pt>
                <c:pt idx="11">
                  <c:v>10974</c:v>
                </c:pt>
              </c:numCache>
            </c:numRef>
          </c:xVal>
          <c:yVal>
            <c:numRef>
              <c:f>'Consumo Combustible'!$C$39:$C$50</c:f>
              <c:numCache>
                <c:formatCode>General</c:formatCode>
                <c:ptCount val="12"/>
                <c:pt idx="0">
                  <c:v>2762</c:v>
                </c:pt>
                <c:pt idx="1">
                  <c:v>1921</c:v>
                </c:pt>
                <c:pt idx="2">
                  <c:v>3376</c:v>
                </c:pt>
                <c:pt idx="3">
                  <c:v>1904</c:v>
                </c:pt>
                <c:pt idx="4">
                  <c:v>2784</c:v>
                </c:pt>
                <c:pt idx="5">
                  <c:v>2049</c:v>
                </c:pt>
                <c:pt idx="6">
                  <c:v>2097</c:v>
                </c:pt>
                <c:pt idx="7">
                  <c:v>2281</c:v>
                </c:pt>
                <c:pt idx="8">
                  <c:v>2238</c:v>
                </c:pt>
                <c:pt idx="9">
                  <c:v>2848</c:v>
                </c:pt>
                <c:pt idx="10">
                  <c:v>9580</c:v>
                </c:pt>
                <c:pt idx="11">
                  <c:v>2137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63-4A75-92CA-C036FEBBC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2223"/>
        <c:axId val="2088582895"/>
      </c:scatterChart>
      <c:valAx>
        <c:axId val="2227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8582895"/>
        <c:crosses val="autoZero"/>
        <c:crossBetween val="midCat"/>
      </c:valAx>
      <c:valAx>
        <c:axId val="20885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27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9868110236220472E-2"/>
                  <c:y val="-3.112532808398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</c:trendlineLbl>
          </c:trendline>
          <c:xVal>
            <c:numRef>
              <c:f>'Consumo Combustible'!$B$53:$B$64</c:f>
              <c:numCache>
                <c:formatCode>General</c:formatCode>
                <c:ptCount val="12"/>
                <c:pt idx="0">
                  <c:v>12102</c:v>
                </c:pt>
                <c:pt idx="1">
                  <c:v>10675</c:v>
                </c:pt>
                <c:pt idx="2">
                  <c:v>12473</c:v>
                </c:pt>
                <c:pt idx="3">
                  <c:v>11880</c:v>
                </c:pt>
                <c:pt idx="4">
                  <c:v>11590</c:v>
                </c:pt>
                <c:pt idx="5">
                  <c:v>11235</c:v>
                </c:pt>
                <c:pt idx="6">
                  <c:v>12485</c:v>
                </c:pt>
                <c:pt idx="7">
                  <c:v>12162</c:v>
                </c:pt>
                <c:pt idx="8">
                  <c:v>11773</c:v>
                </c:pt>
                <c:pt idx="9">
                  <c:v>11838</c:v>
                </c:pt>
                <c:pt idx="10">
                  <c:v>11567</c:v>
                </c:pt>
                <c:pt idx="11">
                  <c:v>12010</c:v>
                </c:pt>
              </c:numCache>
            </c:numRef>
          </c:xVal>
          <c:yVal>
            <c:numRef>
              <c:f>'Consumo Combustible'!$C$53:$C$64</c:f>
              <c:numCache>
                <c:formatCode>General</c:formatCode>
                <c:ptCount val="12"/>
                <c:pt idx="0">
                  <c:v>2574</c:v>
                </c:pt>
                <c:pt idx="1">
                  <c:v>2528</c:v>
                </c:pt>
                <c:pt idx="2">
                  <c:v>6766</c:v>
                </c:pt>
                <c:pt idx="3">
                  <c:v>2558</c:v>
                </c:pt>
                <c:pt idx="4">
                  <c:v>2185</c:v>
                </c:pt>
                <c:pt idx="5">
                  <c:v>2429</c:v>
                </c:pt>
                <c:pt idx="6">
                  <c:v>3693</c:v>
                </c:pt>
                <c:pt idx="7">
                  <c:v>2472</c:v>
                </c:pt>
                <c:pt idx="8">
                  <c:v>2410</c:v>
                </c:pt>
                <c:pt idx="9">
                  <c:v>7475</c:v>
                </c:pt>
                <c:pt idx="10">
                  <c:v>5968</c:v>
                </c:pt>
                <c:pt idx="11">
                  <c:v>2353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4-4B06-9269-C97D2D4A4B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72223"/>
        <c:axId val="2088582895"/>
      </c:scatterChart>
      <c:valAx>
        <c:axId val="22272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088582895"/>
        <c:crosses val="autoZero"/>
        <c:crossBetween val="midCat"/>
      </c:valAx>
      <c:valAx>
        <c:axId val="208858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2272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'Consumo Combustible'!$B$68:$B$75</c:f>
              <c:numCache>
                <c:formatCode>General</c:formatCode>
                <c:ptCount val="8"/>
                <c:pt idx="0">
                  <c:v>12206</c:v>
                </c:pt>
                <c:pt idx="1">
                  <c:v>10414</c:v>
                </c:pt>
                <c:pt idx="2">
                  <c:v>11951</c:v>
                </c:pt>
                <c:pt idx="3">
                  <c:v>11144</c:v>
                </c:pt>
                <c:pt idx="4">
                  <c:v>10491</c:v>
                </c:pt>
                <c:pt idx="5">
                  <c:v>9503</c:v>
                </c:pt>
                <c:pt idx="6">
                  <c:v>11737</c:v>
                </c:pt>
                <c:pt idx="7">
                  <c:v>10619</c:v>
                </c:pt>
              </c:numCache>
            </c:numRef>
          </c:xVal>
          <c:yVal>
            <c:numRef>
              <c:f>'Consumo Combustible'!$C$68:$C$75</c:f>
              <c:numCache>
                <c:formatCode>General</c:formatCode>
                <c:ptCount val="8"/>
                <c:pt idx="0">
                  <c:v>5200</c:v>
                </c:pt>
                <c:pt idx="1">
                  <c:v>2806</c:v>
                </c:pt>
                <c:pt idx="2">
                  <c:v>2801</c:v>
                </c:pt>
                <c:pt idx="3">
                  <c:v>4957</c:v>
                </c:pt>
                <c:pt idx="4">
                  <c:v>2474</c:v>
                </c:pt>
                <c:pt idx="5">
                  <c:v>2873</c:v>
                </c:pt>
                <c:pt idx="6">
                  <c:v>2661</c:v>
                </c:pt>
                <c:pt idx="7">
                  <c:v>3007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A3-4D9B-8368-0600BE60D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5642112"/>
        <c:axId val="1439107759"/>
      </c:scatterChart>
      <c:valAx>
        <c:axId val="745642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439107759"/>
        <c:crosses val="autoZero"/>
        <c:crossBetween val="midCat"/>
      </c:valAx>
      <c:valAx>
        <c:axId val="143910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745642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35</xdr:row>
      <xdr:rowOff>139700</xdr:rowOff>
    </xdr:from>
    <xdr:to>
      <xdr:col>10</xdr:col>
      <xdr:colOff>587375</xdr:colOff>
      <xdr:row>50</xdr:row>
      <xdr:rowOff>120650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CDC7B85-485D-8103-539E-BAFB75D74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527050</xdr:colOff>
      <xdr:row>51</xdr:row>
      <xdr:rowOff>19050</xdr:rowOff>
    </xdr:from>
    <xdr:to>
      <xdr:col>10</xdr:col>
      <xdr:colOff>527050</xdr:colOff>
      <xdr:row>66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697BD6E3-7C0E-45AD-B78B-286EE762A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409575</xdr:colOff>
      <xdr:row>67</xdr:row>
      <xdr:rowOff>114300</xdr:rowOff>
    </xdr:from>
    <xdr:to>
      <xdr:col>10</xdr:col>
      <xdr:colOff>409575</xdr:colOff>
      <xdr:row>82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E61F982-6CC3-34C1-C3AA-222AB02CE3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149512</xdr:colOff>
      <xdr:row>16</xdr:row>
      <xdr:rowOff>88900</xdr:rowOff>
    </xdr:from>
    <xdr:to>
      <xdr:col>21</xdr:col>
      <xdr:colOff>546099</xdr:colOff>
      <xdr:row>40</xdr:row>
      <xdr:rowOff>102416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2DBB5342-747A-5B1F-EEBC-216FABE5B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17512" y="3035300"/>
          <a:ext cx="5908387" cy="4433116"/>
        </a:xfrm>
        <a:prstGeom prst="rect">
          <a:avLst/>
        </a:prstGeom>
      </xdr:spPr>
    </xdr:pic>
    <xdr:clientData/>
  </xdr:twoCellAnchor>
  <xdr:twoCellAnchor editAs="oneCell">
    <xdr:from>
      <xdr:col>14</xdr:col>
      <xdr:colOff>127000</xdr:colOff>
      <xdr:row>40</xdr:row>
      <xdr:rowOff>105516</xdr:rowOff>
    </xdr:from>
    <xdr:to>
      <xdr:col>21</xdr:col>
      <xdr:colOff>584200</xdr:colOff>
      <xdr:row>65</xdr:row>
      <xdr:rowOff>54898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B18218F-2855-4971-8AB7-2FD2EAEB5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95000" y="7471516"/>
          <a:ext cx="5969000" cy="45531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A9344-9299-4FA4-9F0F-2A947841391D}">
  <dimension ref="A1:T79"/>
  <sheetViews>
    <sheetView tabSelected="1" topLeftCell="E1" zoomScale="91" workbookViewId="0">
      <selection activeCell="E16" sqref="E16"/>
    </sheetView>
  </sheetViews>
  <sheetFormatPr baseColWidth="10" defaultRowHeight="14.5" x14ac:dyDescent="0.35"/>
  <cols>
    <col min="2" max="2" width="10.90625" style="1"/>
    <col min="20" max="20" width="13.453125" style="12" customWidth="1"/>
  </cols>
  <sheetData>
    <row r="1" spans="1:20" x14ac:dyDescent="0.35">
      <c r="A1" s="7" t="s">
        <v>13</v>
      </c>
      <c r="B1" s="7"/>
      <c r="C1" s="7"/>
      <c r="D1" s="7"/>
      <c r="E1" s="7"/>
      <c r="H1" s="7" t="s">
        <v>14</v>
      </c>
      <c r="I1" s="7"/>
      <c r="J1" s="7"/>
      <c r="K1" s="7"/>
      <c r="L1" s="7"/>
      <c r="P1" s="7" t="s">
        <v>15</v>
      </c>
      <c r="Q1" s="7"/>
      <c r="R1" s="7"/>
      <c r="S1" s="7"/>
      <c r="T1" s="7"/>
    </row>
    <row r="2" spans="1:20" x14ac:dyDescent="0.35">
      <c r="A2" s="6" t="s">
        <v>0</v>
      </c>
      <c r="B2" s="4">
        <v>2023</v>
      </c>
      <c r="C2" s="6">
        <v>2024</v>
      </c>
      <c r="D2" s="6">
        <v>2025</v>
      </c>
      <c r="E2" s="6">
        <v>2026</v>
      </c>
      <c r="H2" s="6" t="s">
        <v>0</v>
      </c>
      <c r="I2" s="4">
        <v>2023</v>
      </c>
      <c r="J2" s="6">
        <v>2024</v>
      </c>
      <c r="K2" s="6">
        <v>2025</v>
      </c>
      <c r="L2" s="6">
        <v>2026</v>
      </c>
      <c r="P2" s="6" t="s">
        <v>0</v>
      </c>
      <c r="Q2" s="4">
        <v>2023</v>
      </c>
      <c r="R2" s="6">
        <v>2024</v>
      </c>
      <c r="S2" s="6">
        <v>2025</v>
      </c>
      <c r="T2" s="10">
        <v>2026</v>
      </c>
    </row>
    <row r="3" spans="1:20" x14ac:dyDescent="0.35">
      <c r="A3" s="2" t="s">
        <v>1</v>
      </c>
      <c r="B3" s="1">
        <v>2762</v>
      </c>
      <c r="C3" s="3">
        <v>3455</v>
      </c>
      <c r="D3" s="3">
        <v>2574</v>
      </c>
      <c r="E3" s="3">
        <v>5200</v>
      </c>
      <c r="H3" s="2" t="s">
        <v>1</v>
      </c>
      <c r="I3" s="8">
        <v>10180</v>
      </c>
      <c r="J3" s="9">
        <v>10605</v>
      </c>
      <c r="K3" s="9">
        <v>12102</v>
      </c>
      <c r="L3" s="9">
        <v>12206</v>
      </c>
      <c r="P3" s="2" t="s">
        <v>1</v>
      </c>
      <c r="Q3" s="13">
        <v>1247762</v>
      </c>
      <c r="R3" s="13">
        <v>1311749</v>
      </c>
      <c r="S3" s="13">
        <v>1515777</v>
      </c>
      <c r="T3" s="13">
        <v>1584586</v>
      </c>
    </row>
    <row r="4" spans="1:20" x14ac:dyDescent="0.35">
      <c r="A4" s="2" t="s">
        <v>2</v>
      </c>
      <c r="B4" s="3">
        <v>1921</v>
      </c>
      <c r="C4" s="3">
        <v>2303</v>
      </c>
      <c r="D4" s="3">
        <v>2528</v>
      </c>
      <c r="E4" s="3">
        <v>2806</v>
      </c>
      <c r="H4" s="2" t="s">
        <v>2</v>
      </c>
      <c r="I4" s="9">
        <v>9062</v>
      </c>
      <c r="J4" s="9">
        <v>9839</v>
      </c>
      <c r="K4" s="9">
        <v>10675</v>
      </c>
      <c r="L4" s="9">
        <v>10414</v>
      </c>
      <c r="P4" s="2" t="s">
        <v>2</v>
      </c>
      <c r="Q4" s="13">
        <v>1120829</v>
      </c>
      <c r="R4" s="13">
        <v>1191495</v>
      </c>
      <c r="S4" s="13">
        <v>1358054</v>
      </c>
      <c r="T4" s="13">
        <v>1376974</v>
      </c>
    </row>
    <row r="5" spans="1:20" x14ac:dyDescent="0.35">
      <c r="A5" s="2" t="s">
        <v>3</v>
      </c>
      <c r="B5" s="3">
        <v>3376</v>
      </c>
      <c r="C5" s="3">
        <v>2414</v>
      </c>
      <c r="D5" s="3">
        <v>6766</v>
      </c>
      <c r="E5" s="3">
        <v>2801</v>
      </c>
      <c r="H5" s="2" t="s">
        <v>3</v>
      </c>
      <c r="I5" s="9">
        <v>10795</v>
      </c>
      <c r="J5" s="9">
        <v>10745</v>
      </c>
      <c r="K5" s="9">
        <v>12473</v>
      </c>
      <c r="L5" s="9">
        <v>11951</v>
      </c>
      <c r="P5" s="2" t="s">
        <v>3</v>
      </c>
      <c r="Q5" s="13">
        <v>1277278</v>
      </c>
      <c r="R5" s="13">
        <v>1282543</v>
      </c>
      <c r="S5" s="13">
        <v>1546805</v>
      </c>
      <c r="T5" s="13">
        <v>1532836</v>
      </c>
    </row>
    <row r="6" spans="1:20" x14ac:dyDescent="0.35">
      <c r="A6" s="2" t="s">
        <v>4</v>
      </c>
      <c r="B6" s="3">
        <v>1904</v>
      </c>
      <c r="C6" s="3">
        <v>3007</v>
      </c>
      <c r="D6" s="3">
        <v>2558</v>
      </c>
      <c r="E6" s="3">
        <v>4957</v>
      </c>
      <c r="H6" s="2" t="s">
        <v>4</v>
      </c>
      <c r="I6" s="9">
        <v>10376</v>
      </c>
      <c r="J6" s="9">
        <v>9463</v>
      </c>
      <c r="K6" s="9">
        <v>11880</v>
      </c>
      <c r="L6" s="9">
        <v>11144</v>
      </c>
      <c r="P6" s="2" t="s">
        <v>4</v>
      </c>
      <c r="Q6" s="13">
        <v>1245908</v>
      </c>
      <c r="R6" s="13">
        <v>1123412</v>
      </c>
      <c r="S6" s="13">
        <v>1495770</v>
      </c>
      <c r="T6" s="13">
        <v>1411778</v>
      </c>
    </row>
    <row r="7" spans="1:20" x14ac:dyDescent="0.35">
      <c r="A7" s="2" t="s">
        <v>5</v>
      </c>
      <c r="B7" s="3">
        <v>2784</v>
      </c>
      <c r="C7" s="3">
        <v>2235</v>
      </c>
      <c r="D7" s="3">
        <v>2185</v>
      </c>
      <c r="E7" s="3">
        <v>2474</v>
      </c>
      <c r="H7" s="2" t="s">
        <v>5</v>
      </c>
      <c r="I7" s="9">
        <v>10832</v>
      </c>
      <c r="J7" s="9">
        <v>8691</v>
      </c>
      <c r="K7" s="9">
        <v>11590</v>
      </c>
      <c r="L7" s="9">
        <v>10491</v>
      </c>
      <c r="P7" s="2" t="s">
        <v>5</v>
      </c>
      <c r="Q7" s="13">
        <v>1303714</v>
      </c>
      <c r="R7" s="13">
        <v>1043291</v>
      </c>
      <c r="S7" s="13">
        <v>1437232</v>
      </c>
      <c r="T7" s="13">
        <v>1329602</v>
      </c>
    </row>
    <row r="8" spans="1:20" x14ac:dyDescent="0.35">
      <c r="A8" s="2" t="s">
        <v>6</v>
      </c>
      <c r="B8" s="3">
        <v>2049</v>
      </c>
      <c r="C8" s="3">
        <v>3871</v>
      </c>
      <c r="D8" s="3">
        <v>2429</v>
      </c>
      <c r="E8" s="3">
        <v>2873</v>
      </c>
      <c r="H8" s="2" t="s">
        <v>6</v>
      </c>
      <c r="I8" s="9">
        <v>10648</v>
      </c>
      <c r="J8" s="9">
        <v>8971</v>
      </c>
      <c r="K8" s="9">
        <v>11235</v>
      </c>
      <c r="L8" s="9">
        <v>9503</v>
      </c>
      <c r="P8" s="2" t="s">
        <v>6</v>
      </c>
      <c r="Q8" s="13">
        <v>1303061</v>
      </c>
      <c r="R8" s="13">
        <v>1074303</v>
      </c>
      <c r="S8" s="13">
        <v>1381331</v>
      </c>
      <c r="T8" s="13">
        <v>1179328</v>
      </c>
    </row>
    <row r="9" spans="1:20" x14ac:dyDescent="0.35">
      <c r="A9" s="2" t="s">
        <v>7</v>
      </c>
      <c r="B9" s="3">
        <v>2097</v>
      </c>
      <c r="C9" s="5"/>
      <c r="D9" s="3">
        <v>3693</v>
      </c>
      <c r="E9" s="3">
        <v>2661</v>
      </c>
      <c r="H9" s="2" t="s">
        <v>7</v>
      </c>
      <c r="I9" s="9">
        <v>11198</v>
      </c>
      <c r="J9" s="9">
        <v>10512</v>
      </c>
      <c r="K9" s="9">
        <v>12485</v>
      </c>
      <c r="L9" s="9">
        <v>11737</v>
      </c>
      <c r="P9" s="2" t="s">
        <v>7</v>
      </c>
      <c r="Q9" s="13">
        <v>1406224</v>
      </c>
      <c r="R9" s="13">
        <v>1283557</v>
      </c>
      <c r="S9" s="13">
        <v>1569007</v>
      </c>
      <c r="T9" s="13">
        <v>1403715</v>
      </c>
    </row>
    <row r="10" spans="1:20" x14ac:dyDescent="0.35">
      <c r="A10" s="2" t="s">
        <v>8</v>
      </c>
      <c r="B10" s="3">
        <v>2281</v>
      </c>
      <c r="C10" s="5"/>
      <c r="D10" s="3">
        <v>2472</v>
      </c>
      <c r="E10" s="3">
        <v>3007</v>
      </c>
      <c r="H10" s="2" t="s">
        <v>8</v>
      </c>
      <c r="I10" s="9">
        <v>10834</v>
      </c>
      <c r="J10" s="9">
        <v>10482</v>
      </c>
      <c r="K10" s="9">
        <v>12162</v>
      </c>
      <c r="L10" s="9">
        <v>10619</v>
      </c>
      <c r="P10" s="2" t="s">
        <v>8</v>
      </c>
      <c r="Q10" s="13">
        <v>1340328</v>
      </c>
      <c r="R10" s="13">
        <v>1261458</v>
      </c>
      <c r="S10" s="13">
        <v>1545277</v>
      </c>
      <c r="T10" s="13">
        <v>1402231</v>
      </c>
    </row>
    <row r="11" spans="1:20" x14ac:dyDescent="0.35">
      <c r="A11" s="2" t="s">
        <v>9</v>
      </c>
      <c r="B11" s="3">
        <v>2238</v>
      </c>
      <c r="C11" s="5"/>
      <c r="D11" s="3">
        <v>2410</v>
      </c>
      <c r="E11" s="2"/>
      <c r="H11" s="2" t="s">
        <v>9</v>
      </c>
      <c r="I11" s="9">
        <v>10418</v>
      </c>
      <c r="J11" s="9">
        <v>9659</v>
      </c>
      <c r="K11" s="9">
        <v>11773</v>
      </c>
      <c r="L11" s="9">
        <v>11459</v>
      </c>
      <c r="P11" s="2" t="s">
        <v>9</v>
      </c>
      <c r="Q11" s="13">
        <v>1303435</v>
      </c>
      <c r="R11" s="13">
        <v>1184480</v>
      </c>
      <c r="S11" s="13">
        <v>1470246</v>
      </c>
      <c r="T11" s="13">
        <v>1325294</v>
      </c>
    </row>
    <row r="12" spans="1:20" x14ac:dyDescent="0.35">
      <c r="A12" s="2" t="s">
        <v>10</v>
      </c>
      <c r="B12" s="3">
        <v>2848</v>
      </c>
      <c r="C12" s="5"/>
      <c r="D12" s="3">
        <v>7475</v>
      </c>
      <c r="E12" s="2"/>
      <c r="H12" s="2" t="s">
        <v>10</v>
      </c>
      <c r="I12" s="9">
        <v>11266</v>
      </c>
      <c r="J12" s="9">
        <v>10622</v>
      </c>
      <c r="K12" s="9">
        <v>11838</v>
      </c>
      <c r="L12" s="5"/>
      <c r="P12" s="2" t="s">
        <v>10</v>
      </c>
      <c r="Q12" s="13">
        <v>1411289</v>
      </c>
      <c r="R12" s="13">
        <v>1316807</v>
      </c>
      <c r="S12" s="13">
        <v>1497718</v>
      </c>
      <c r="T12" s="11"/>
    </row>
    <row r="13" spans="1:20" x14ac:dyDescent="0.35">
      <c r="A13" s="2" t="s">
        <v>11</v>
      </c>
      <c r="B13" s="3">
        <v>9580</v>
      </c>
      <c r="C13" s="5"/>
      <c r="D13" s="3">
        <v>5968</v>
      </c>
      <c r="E13" s="2"/>
      <c r="H13" s="2" t="s">
        <v>11</v>
      </c>
      <c r="I13" s="9">
        <v>11110</v>
      </c>
      <c r="J13" s="9">
        <v>11299</v>
      </c>
      <c r="K13" s="9">
        <v>11567</v>
      </c>
      <c r="L13" s="5"/>
      <c r="P13" s="2" t="s">
        <v>11</v>
      </c>
      <c r="Q13" s="13">
        <v>1385398</v>
      </c>
      <c r="R13" s="13">
        <v>1426610</v>
      </c>
      <c r="S13" s="13">
        <v>1498081</v>
      </c>
      <c r="T13" s="11"/>
    </row>
    <row r="14" spans="1:20" x14ac:dyDescent="0.35">
      <c r="A14" s="2" t="s">
        <v>12</v>
      </c>
      <c r="B14" s="3">
        <v>2137</v>
      </c>
      <c r="C14" s="5"/>
      <c r="D14" s="3">
        <v>2353</v>
      </c>
      <c r="E14" s="2"/>
      <c r="H14" s="2" t="s">
        <v>12</v>
      </c>
      <c r="I14" s="9">
        <v>10974</v>
      </c>
      <c r="J14" s="9">
        <v>12143</v>
      </c>
      <c r="K14" s="9">
        <v>12010</v>
      </c>
      <c r="L14" s="5"/>
      <c r="P14" s="2" t="s">
        <v>12</v>
      </c>
      <c r="Q14" s="13">
        <v>1323568</v>
      </c>
      <c r="R14" s="13">
        <v>1467063</v>
      </c>
      <c r="S14" s="13">
        <v>1522044</v>
      </c>
      <c r="T14" s="11"/>
    </row>
    <row r="18" spans="8:12" x14ac:dyDescent="0.35">
      <c r="H18" s="7" t="s">
        <v>16</v>
      </c>
      <c r="I18" s="7"/>
      <c r="J18" s="7"/>
      <c r="K18" s="7"/>
      <c r="L18" s="7"/>
    </row>
    <row r="19" spans="8:12" x14ac:dyDescent="0.35">
      <c r="H19" s="6" t="s">
        <v>0</v>
      </c>
      <c r="I19" s="4">
        <v>2023</v>
      </c>
      <c r="J19" s="6">
        <v>2024</v>
      </c>
      <c r="K19" s="6">
        <v>2025</v>
      </c>
      <c r="L19" s="6">
        <v>2026</v>
      </c>
    </row>
    <row r="20" spans="8:12" x14ac:dyDescent="0.35">
      <c r="H20" s="2" t="s">
        <v>1</v>
      </c>
      <c r="I20" s="14">
        <f>+B3/I3</f>
        <v>0.27131630648330057</v>
      </c>
      <c r="J20" s="14">
        <f>+C3/J3</f>
        <v>0.32578972182932581</v>
      </c>
      <c r="K20" s="14">
        <f>+D3/K3</f>
        <v>0.21269211700545365</v>
      </c>
      <c r="L20" s="14">
        <f>+E3/L3</f>
        <v>0.42601999016876946</v>
      </c>
    </row>
    <row r="21" spans="8:12" x14ac:dyDescent="0.35">
      <c r="H21" s="2" t="s">
        <v>2</v>
      </c>
      <c r="I21" s="14">
        <f>+B4/I4</f>
        <v>0.21198410946810858</v>
      </c>
      <c r="J21" s="14">
        <f>+C4/J4</f>
        <v>0.23406850289663583</v>
      </c>
      <c r="K21" s="14">
        <f>+D4/K4</f>
        <v>0.23681498829039813</v>
      </c>
      <c r="L21" s="14">
        <f>+E4/L4</f>
        <v>0.26944497791434607</v>
      </c>
    </row>
    <row r="22" spans="8:12" x14ac:dyDescent="0.35">
      <c r="H22" s="2" t="s">
        <v>3</v>
      </c>
      <c r="I22" s="14">
        <f>+B5/I5</f>
        <v>0.3127373784159333</v>
      </c>
      <c r="J22" s="14">
        <f>+C5/J5</f>
        <v>0.22466263378315496</v>
      </c>
      <c r="K22" s="14">
        <f>+D5/K5</f>
        <v>0.54245169566263129</v>
      </c>
      <c r="L22" s="14">
        <f>+E5/L5</f>
        <v>0.23437369257802695</v>
      </c>
    </row>
    <row r="23" spans="8:12" x14ac:dyDescent="0.35">
      <c r="H23" s="2" t="s">
        <v>4</v>
      </c>
      <c r="I23" s="14">
        <f>+B6/I6</f>
        <v>0.18350038550501158</v>
      </c>
      <c r="J23" s="14">
        <f>+C6/J6</f>
        <v>0.31776392264609532</v>
      </c>
      <c r="K23" s="14">
        <f>+D6/K6</f>
        <v>0.21531986531986533</v>
      </c>
      <c r="L23" s="14">
        <f>+E6/L6</f>
        <v>0.44481335247666903</v>
      </c>
    </row>
    <row r="24" spans="8:12" x14ac:dyDescent="0.35">
      <c r="H24" s="2" t="s">
        <v>5</v>
      </c>
      <c r="I24" s="14">
        <f>+B7/I7</f>
        <v>0.2570162481536189</v>
      </c>
      <c r="J24" s="14">
        <f>+C7/J7</f>
        <v>0.25716258198136005</v>
      </c>
      <c r="K24" s="14">
        <f>+D7/K7</f>
        <v>0.18852459016393441</v>
      </c>
      <c r="L24" s="14">
        <f>+E7/L7</f>
        <v>0.23582118005909827</v>
      </c>
    </row>
    <row r="25" spans="8:12" x14ac:dyDescent="0.35">
      <c r="H25" s="2" t="s">
        <v>6</v>
      </c>
      <c r="I25" s="14">
        <f>+B8/I8</f>
        <v>0.19243050338091661</v>
      </c>
      <c r="J25" s="14">
        <f>+C8/J8</f>
        <v>0.43150150484895777</v>
      </c>
      <c r="K25" s="14">
        <f>+D8/K8</f>
        <v>0.2161993769470405</v>
      </c>
      <c r="L25" s="14">
        <f>+E8/L8</f>
        <v>0.30232558139534882</v>
      </c>
    </row>
    <row r="26" spans="8:12" x14ac:dyDescent="0.35">
      <c r="H26" s="2" t="s">
        <v>7</v>
      </c>
      <c r="I26" s="14">
        <f>+B9/I9</f>
        <v>0.1872655831398464</v>
      </c>
      <c r="J26" s="14"/>
      <c r="K26" s="14">
        <f>+D9/K9</f>
        <v>0.29579495394473371</v>
      </c>
      <c r="L26" s="14">
        <f>+E9/L9</f>
        <v>0.22671892306381528</v>
      </c>
    </row>
    <row r="27" spans="8:12" x14ac:dyDescent="0.35">
      <c r="H27" s="2" t="s">
        <v>8</v>
      </c>
      <c r="I27" s="14">
        <f>+B10/I10</f>
        <v>0.21054088979139746</v>
      </c>
      <c r="J27" s="14"/>
      <c r="K27" s="14">
        <f>+D10/K10</f>
        <v>0.20325604341391218</v>
      </c>
      <c r="L27" s="14">
        <f>+E10/L10</f>
        <v>0.28317167341557586</v>
      </c>
    </row>
    <row r="28" spans="8:12" x14ac:dyDescent="0.35">
      <c r="H28" s="2" t="s">
        <v>9</v>
      </c>
      <c r="I28" s="14">
        <f>+B11/I11</f>
        <v>0.21482050297561911</v>
      </c>
      <c r="J28" s="14"/>
      <c r="K28" s="14">
        <f>+D11/K11</f>
        <v>0.20470568249384183</v>
      </c>
      <c r="L28" s="14"/>
    </row>
    <row r="29" spans="8:12" x14ac:dyDescent="0.35">
      <c r="H29" s="2" t="s">
        <v>10</v>
      </c>
      <c r="I29" s="14">
        <f>+B12/I12</f>
        <v>0.25279602343333923</v>
      </c>
      <c r="J29" s="14"/>
      <c r="K29" s="14">
        <f>+D12/K12</f>
        <v>0.63144112181111678</v>
      </c>
      <c r="L29" s="14"/>
    </row>
    <row r="30" spans="8:12" x14ac:dyDescent="0.35">
      <c r="H30" s="2" t="s">
        <v>11</v>
      </c>
      <c r="I30" s="14">
        <f>+B13/I13</f>
        <v>0.86228622862286231</v>
      </c>
      <c r="J30" s="14"/>
      <c r="K30" s="14">
        <f>+D13/K13</f>
        <v>0.51595054897553383</v>
      </c>
      <c r="L30" s="14"/>
    </row>
    <row r="31" spans="8:12" x14ac:dyDescent="0.35">
      <c r="H31" s="2" t="s">
        <v>12</v>
      </c>
      <c r="I31" s="14">
        <f>+B14/I14</f>
        <v>0.19473300528521961</v>
      </c>
      <c r="J31" s="14"/>
      <c r="K31" s="14">
        <f>+D14/K14</f>
        <v>0.19592006661115738</v>
      </c>
      <c r="L31" s="14"/>
    </row>
    <row r="38" spans="1:3" x14ac:dyDescent="0.35">
      <c r="A38" s="6" t="s">
        <v>0</v>
      </c>
      <c r="B38" s="4">
        <v>2023</v>
      </c>
    </row>
    <row r="39" spans="1:3" x14ac:dyDescent="0.35">
      <c r="A39" s="2" t="s">
        <v>1</v>
      </c>
      <c r="B39" s="8">
        <v>10180</v>
      </c>
      <c r="C39" s="3">
        <v>2762</v>
      </c>
    </row>
    <row r="40" spans="1:3" x14ac:dyDescent="0.35">
      <c r="A40" s="2" t="s">
        <v>2</v>
      </c>
      <c r="B40" s="9">
        <v>9062</v>
      </c>
      <c r="C40" s="3">
        <v>1921</v>
      </c>
    </row>
    <row r="41" spans="1:3" x14ac:dyDescent="0.35">
      <c r="A41" s="2" t="s">
        <v>3</v>
      </c>
      <c r="B41" s="9">
        <v>10795</v>
      </c>
      <c r="C41" s="3">
        <v>3376</v>
      </c>
    </row>
    <row r="42" spans="1:3" x14ac:dyDescent="0.35">
      <c r="A42" s="2" t="s">
        <v>4</v>
      </c>
      <c r="B42" s="9">
        <v>10376</v>
      </c>
      <c r="C42" s="3">
        <v>1904</v>
      </c>
    </row>
    <row r="43" spans="1:3" x14ac:dyDescent="0.35">
      <c r="A43" s="2" t="s">
        <v>5</v>
      </c>
      <c r="B43" s="9">
        <v>10832</v>
      </c>
      <c r="C43" s="3">
        <v>2784</v>
      </c>
    </row>
    <row r="44" spans="1:3" x14ac:dyDescent="0.35">
      <c r="A44" s="2" t="s">
        <v>6</v>
      </c>
      <c r="B44" s="9">
        <v>10648</v>
      </c>
      <c r="C44" s="3">
        <v>2049</v>
      </c>
    </row>
    <row r="45" spans="1:3" x14ac:dyDescent="0.35">
      <c r="A45" s="2" t="s">
        <v>7</v>
      </c>
      <c r="B45" s="9">
        <v>11198</v>
      </c>
      <c r="C45" s="3">
        <v>2097</v>
      </c>
    </row>
    <row r="46" spans="1:3" x14ac:dyDescent="0.35">
      <c r="A46" s="2" t="s">
        <v>8</v>
      </c>
      <c r="B46" s="9">
        <v>10834</v>
      </c>
      <c r="C46" s="3">
        <v>2281</v>
      </c>
    </row>
    <row r="47" spans="1:3" x14ac:dyDescent="0.35">
      <c r="A47" s="2" t="s">
        <v>9</v>
      </c>
      <c r="B47" s="9">
        <v>10418</v>
      </c>
      <c r="C47" s="3">
        <v>2238</v>
      </c>
    </row>
    <row r="48" spans="1:3" x14ac:dyDescent="0.35">
      <c r="A48" s="2" t="s">
        <v>10</v>
      </c>
      <c r="B48" s="9">
        <v>11266</v>
      </c>
      <c r="C48" s="3">
        <v>2848</v>
      </c>
    </row>
    <row r="49" spans="1:3" x14ac:dyDescent="0.35">
      <c r="A49" s="2" t="s">
        <v>11</v>
      </c>
      <c r="B49" s="9">
        <v>11110</v>
      </c>
      <c r="C49" s="3">
        <v>9580</v>
      </c>
    </row>
    <row r="50" spans="1:3" x14ac:dyDescent="0.35">
      <c r="A50" s="2" t="s">
        <v>12</v>
      </c>
      <c r="B50" s="9">
        <v>10974</v>
      </c>
      <c r="C50" s="3">
        <v>2137</v>
      </c>
    </row>
    <row r="52" spans="1:3" x14ac:dyDescent="0.35">
      <c r="A52" s="6" t="s">
        <v>0</v>
      </c>
    </row>
    <row r="53" spans="1:3" x14ac:dyDescent="0.35">
      <c r="A53" s="2" t="s">
        <v>1</v>
      </c>
      <c r="B53" s="9">
        <v>12102</v>
      </c>
      <c r="C53" s="3">
        <v>2574</v>
      </c>
    </row>
    <row r="54" spans="1:3" x14ac:dyDescent="0.35">
      <c r="A54" s="2" t="s">
        <v>2</v>
      </c>
      <c r="B54" s="9">
        <v>10675</v>
      </c>
      <c r="C54" s="3">
        <v>2528</v>
      </c>
    </row>
    <row r="55" spans="1:3" x14ac:dyDescent="0.35">
      <c r="A55" s="2" t="s">
        <v>3</v>
      </c>
      <c r="B55" s="9">
        <v>12473</v>
      </c>
      <c r="C55" s="3">
        <v>6766</v>
      </c>
    </row>
    <row r="56" spans="1:3" x14ac:dyDescent="0.35">
      <c r="A56" s="2" t="s">
        <v>4</v>
      </c>
      <c r="B56" s="9">
        <v>11880</v>
      </c>
      <c r="C56" s="3">
        <v>2558</v>
      </c>
    </row>
    <row r="57" spans="1:3" x14ac:dyDescent="0.35">
      <c r="A57" s="2" t="s">
        <v>5</v>
      </c>
      <c r="B57" s="9">
        <v>11590</v>
      </c>
      <c r="C57" s="3">
        <v>2185</v>
      </c>
    </row>
    <row r="58" spans="1:3" x14ac:dyDescent="0.35">
      <c r="A58" s="2" t="s">
        <v>6</v>
      </c>
      <c r="B58" s="9">
        <v>11235</v>
      </c>
      <c r="C58" s="3">
        <v>2429</v>
      </c>
    </row>
    <row r="59" spans="1:3" x14ac:dyDescent="0.35">
      <c r="A59" s="2" t="s">
        <v>7</v>
      </c>
      <c r="B59" s="9">
        <v>12485</v>
      </c>
      <c r="C59" s="3">
        <v>3693</v>
      </c>
    </row>
    <row r="60" spans="1:3" x14ac:dyDescent="0.35">
      <c r="A60" s="2" t="s">
        <v>8</v>
      </c>
      <c r="B60" s="9">
        <v>12162</v>
      </c>
      <c r="C60" s="3">
        <v>2472</v>
      </c>
    </row>
    <row r="61" spans="1:3" x14ac:dyDescent="0.35">
      <c r="A61" s="2" t="s">
        <v>9</v>
      </c>
      <c r="B61" s="9">
        <v>11773</v>
      </c>
      <c r="C61" s="3">
        <v>2410</v>
      </c>
    </row>
    <row r="62" spans="1:3" x14ac:dyDescent="0.35">
      <c r="A62" s="2" t="s">
        <v>10</v>
      </c>
      <c r="B62" s="9">
        <v>11838</v>
      </c>
      <c r="C62" s="3">
        <v>7475</v>
      </c>
    </row>
    <row r="63" spans="1:3" x14ac:dyDescent="0.35">
      <c r="A63" s="2" t="s">
        <v>11</v>
      </c>
      <c r="B63" s="9">
        <v>11567</v>
      </c>
      <c r="C63" s="3">
        <v>5968</v>
      </c>
    </row>
    <row r="64" spans="1:3" x14ac:dyDescent="0.35">
      <c r="A64" s="2" t="s">
        <v>12</v>
      </c>
      <c r="B64" s="9">
        <v>12010</v>
      </c>
      <c r="C64" s="3">
        <v>2353</v>
      </c>
    </row>
    <row r="68" spans="1:3" x14ac:dyDescent="0.35">
      <c r="A68" s="2" t="s">
        <v>1</v>
      </c>
      <c r="B68" s="9">
        <v>12206</v>
      </c>
      <c r="C68" s="3">
        <v>5200</v>
      </c>
    </row>
    <row r="69" spans="1:3" x14ac:dyDescent="0.35">
      <c r="A69" s="2" t="s">
        <v>2</v>
      </c>
      <c r="B69" s="9">
        <v>10414</v>
      </c>
      <c r="C69" s="3">
        <v>2806</v>
      </c>
    </row>
    <row r="70" spans="1:3" x14ac:dyDescent="0.35">
      <c r="A70" s="2" t="s">
        <v>3</v>
      </c>
      <c r="B70" s="9">
        <v>11951</v>
      </c>
      <c r="C70" s="3">
        <v>2801</v>
      </c>
    </row>
    <row r="71" spans="1:3" x14ac:dyDescent="0.35">
      <c r="A71" s="2" t="s">
        <v>4</v>
      </c>
      <c r="B71" s="9">
        <v>11144</v>
      </c>
      <c r="C71" s="3">
        <v>4957</v>
      </c>
    </row>
    <row r="72" spans="1:3" x14ac:dyDescent="0.35">
      <c r="A72" s="2" t="s">
        <v>5</v>
      </c>
      <c r="B72" s="9">
        <v>10491</v>
      </c>
      <c r="C72" s="3">
        <v>2474</v>
      </c>
    </row>
    <row r="73" spans="1:3" x14ac:dyDescent="0.35">
      <c r="A73" s="2" t="s">
        <v>6</v>
      </c>
      <c r="B73" s="9">
        <v>9503</v>
      </c>
      <c r="C73" s="3">
        <v>2873</v>
      </c>
    </row>
    <row r="74" spans="1:3" x14ac:dyDescent="0.35">
      <c r="A74" s="2" t="s">
        <v>7</v>
      </c>
      <c r="B74" s="9">
        <v>11737</v>
      </c>
      <c r="C74" s="3">
        <v>2661</v>
      </c>
    </row>
    <row r="75" spans="1:3" x14ac:dyDescent="0.35">
      <c r="A75" s="2" t="s">
        <v>8</v>
      </c>
      <c r="B75" s="9">
        <v>10619</v>
      </c>
      <c r="C75" s="3">
        <v>3007</v>
      </c>
    </row>
    <row r="76" spans="1:3" x14ac:dyDescent="0.35">
      <c r="A76" s="2" t="s">
        <v>9</v>
      </c>
      <c r="B76" s="9"/>
      <c r="C76" s="3"/>
    </row>
    <row r="77" spans="1:3" x14ac:dyDescent="0.35">
      <c r="A77" s="2" t="s">
        <v>10</v>
      </c>
      <c r="B77" s="9"/>
      <c r="C77" s="3"/>
    </row>
    <row r="78" spans="1:3" x14ac:dyDescent="0.35">
      <c r="A78" s="2" t="s">
        <v>11</v>
      </c>
      <c r="B78" s="9"/>
      <c r="C78" s="3"/>
    </row>
    <row r="79" spans="1:3" x14ac:dyDescent="0.35">
      <c r="A79" s="2" t="s">
        <v>12</v>
      </c>
      <c r="B79" s="9"/>
      <c r="C79" s="3"/>
    </row>
  </sheetData>
  <mergeCells count="4">
    <mergeCell ref="A1:E1"/>
    <mergeCell ref="H1:L1"/>
    <mergeCell ref="P1:T1"/>
    <mergeCell ref="H18:L18"/>
  </mergeCells>
  <phoneticPr fontId="3" type="noConversion"/>
  <conditionalFormatting sqref="I20:I3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20:J3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0:K3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0:L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CF91-ED2C-4141-B3B6-6D7ABB0E6E5E}">
  <dimension ref="A1:E14"/>
  <sheetViews>
    <sheetView workbookViewId="0">
      <selection activeCell="F24" sqref="F24"/>
    </sheetView>
  </sheetViews>
  <sheetFormatPr baseColWidth="10" defaultRowHeight="14.5" x14ac:dyDescent="0.35"/>
  <sheetData>
    <row r="1" spans="1:5" x14ac:dyDescent="0.35">
      <c r="A1" s="7" t="s">
        <v>18</v>
      </c>
      <c r="B1" s="7"/>
      <c r="C1" s="7"/>
      <c r="D1" s="7"/>
      <c r="E1" s="7"/>
    </row>
    <row r="2" spans="1:5" x14ac:dyDescent="0.35">
      <c r="A2" s="6" t="s">
        <v>0</v>
      </c>
      <c r="B2" s="4">
        <v>2023</v>
      </c>
      <c r="C2" s="6">
        <v>2024</v>
      </c>
      <c r="D2" s="6">
        <v>2025</v>
      </c>
      <c r="E2" s="6">
        <v>2026</v>
      </c>
    </row>
    <row r="3" spans="1:5" x14ac:dyDescent="0.35">
      <c r="A3" s="2" t="s">
        <v>1</v>
      </c>
      <c r="B3" s="13">
        <v>2895</v>
      </c>
      <c r="C3" s="13">
        <v>1790</v>
      </c>
      <c r="D3" s="13">
        <v>1648</v>
      </c>
      <c r="E3" s="13">
        <v>1240</v>
      </c>
    </row>
    <row r="4" spans="1:5" x14ac:dyDescent="0.35">
      <c r="A4" s="2" t="s">
        <v>2</v>
      </c>
      <c r="B4" s="13">
        <v>2479</v>
      </c>
      <c r="C4" s="13">
        <v>2612</v>
      </c>
      <c r="D4" s="13">
        <v>1668</v>
      </c>
      <c r="E4" s="13">
        <v>1085</v>
      </c>
    </row>
    <row r="5" spans="1:5" x14ac:dyDescent="0.35">
      <c r="A5" s="2" t="s">
        <v>3</v>
      </c>
      <c r="B5" s="13">
        <v>2420</v>
      </c>
      <c r="C5" s="13">
        <v>2985</v>
      </c>
      <c r="D5" s="13">
        <v>2967</v>
      </c>
      <c r="E5" s="13">
        <v>1062</v>
      </c>
    </row>
    <row r="6" spans="1:5" x14ac:dyDescent="0.35">
      <c r="A6" s="2" t="s">
        <v>4</v>
      </c>
      <c r="B6" s="13">
        <v>6584</v>
      </c>
      <c r="C6" s="13">
        <v>4933</v>
      </c>
      <c r="D6" s="13">
        <v>3023</v>
      </c>
      <c r="E6" s="13">
        <v>8396</v>
      </c>
    </row>
    <row r="7" spans="1:5" x14ac:dyDescent="0.35">
      <c r="A7" s="2" t="s">
        <v>5</v>
      </c>
      <c r="B7" s="13">
        <v>14958</v>
      </c>
      <c r="C7" s="13">
        <v>59660</v>
      </c>
      <c r="D7" s="13">
        <v>29327</v>
      </c>
      <c r="E7" s="13">
        <v>41684</v>
      </c>
    </row>
    <row r="8" spans="1:5" x14ac:dyDescent="0.35">
      <c r="A8" s="2" t="s">
        <v>6</v>
      </c>
      <c r="B8" s="13">
        <v>46321</v>
      </c>
      <c r="C8" s="13">
        <v>37114</v>
      </c>
      <c r="D8" s="13">
        <v>69862</v>
      </c>
      <c r="E8" s="13">
        <v>45101</v>
      </c>
    </row>
    <row r="9" spans="1:5" x14ac:dyDescent="0.35">
      <c r="A9" s="2" t="s">
        <v>7</v>
      </c>
      <c r="B9" s="13">
        <v>70554</v>
      </c>
      <c r="C9" s="13">
        <v>59203</v>
      </c>
      <c r="D9" s="13">
        <v>47419</v>
      </c>
      <c r="E9" s="13">
        <v>53286</v>
      </c>
    </row>
    <row r="10" spans="1:5" x14ac:dyDescent="0.35">
      <c r="A10" s="2" t="s">
        <v>8</v>
      </c>
      <c r="B10" s="13">
        <v>60228</v>
      </c>
      <c r="C10" s="13">
        <v>61941</v>
      </c>
      <c r="D10" s="13">
        <v>28423</v>
      </c>
      <c r="E10" s="13">
        <v>45205</v>
      </c>
    </row>
    <row r="11" spans="1:5" x14ac:dyDescent="0.35">
      <c r="A11" s="2" t="s">
        <v>9</v>
      </c>
      <c r="B11" s="13">
        <v>14707</v>
      </c>
      <c r="C11" s="13">
        <v>5788</v>
      </c>
      <c r="D11" s="13">
        <v>18026</v>
      </c>
      <c r="E11" s="13">
        <v>45205</v>
      </c>
    </row>
    <row r="12" spans="1:5" x14ac:dyDescent="0.35">
      <c r="A12" s="2" t="s">
        <v>10</v>
      </c>
      <c r="B12" s="13">
        <v>1459</v>
      </c>
      <c r="C12" s="13">
        <v>2295</v>
      </c>
      <c r="D12" s="13">
        <v>6391</v>
      </c>
      <c r="E12" s="16"/>
    </row>
    <row r="13" spans="1:5" x14ac:dyDescent="0.35">
      <c r="A13" s="2" t="s">
        <v>11</v>
      </c>
      <c r="B13" s="13">
        <v>1469</v>
      </c>
      <c r="C13" s="13">
        <v>2255</v>
      </c>
      <c r="D13" s="13">
        <v>1490</v>
      </c>
      <c r="E13" s="16"/>
    </row>
    <row r="14" spans="1:5" x14ac:dyDescent="0.35">
      <c r="A14" s="2" t="s">
        <v>12</v>
      </c>
      <c r="B14" s="13">
        <v>1564</v>
      </c>
      <c r="C14" s="13">
        <v>2303</v>
      </c>
      <c r="D14" s="13">
        <v>1324</v>
      </c>
      <c r="E14" s="16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610B1-3575-4880-A72C-6A51FDC8082F}">
  <dimension ref="A1:E14"/>
  <sheetViews>
    <sheetView zoomScale="68" workbookViewId="0">
      <selection activeCell="G13" sqref="G13"/>
    </sheetView>
  </sheetViews>
  <sheetFormatPr baseColWidth="10" defaultRowHeight="14.5" x14ac:dyDescent="0.35"/>
  <sheetData>
    <row r="1" spans="1:5" x14ac:dyDescent="0.35">
      <c r="A1" s="7" t="s">
        <v>17</v>
      </c>
      <c r="B1" s="7"/>
      <c r="C1" s="7"/>
      <c r="D1" s="7"/>
      <c r="E1" s="7"/>
    </row>
    <row r="2" spans="1:5" x14ac:dyDescent="0.35">
      <c r="A2" s="6" t="s">
        <v>0</v>
      </c>
      <c r="B2" s="4">
        <v>2023</v>
      </c>
      <c r="C2" s="6">
        <v>2024</v>
      </c>
      <c r="D2" s="6">
        <v>2025</v>
      </c>
      <c r="E2" s="6">
        <v>2026</v>
      </c>
    </row>
    <row r="3" spans="1:5" x14ac:dyDescent="0.35">
      <c r="A3" s="2" t="s">
        <v>1</v>
      </c>
      <c r="B3" s="13">
        <v>3029151</v>
      </c>
      <c r="C3" s="13">
        <v>3159065</v>
      </c>
      <c r="D3" s="13">
        <v>3155644</v>
      </c>
      <c r="E3" s="13">
        <v>3206754</v>
      </c>
    </row>
    <row r="4" spans="1:5" x14ac:dyDescent="0.35">
      <c r="A4" s="2" t="s">
        <v>2</v>
      </c>
      <c r="B4" s="13">
        <v>2839266</v>
      </c>
      <c r="C4" s="13">
        <v>3153215</v>
      </c>
      <c r="D4" s="13">
        <v>3113992</v>
      </c>
      <c r="E4" s="13">
        <v>3071628</v>
      </c>
    </row>
    <row r="5" spans="1:5" x14ac:dyDescent="0.35">
      <c r="A5" s="2" t="s">
        <v>3</v>
      </c>
      <c r="B5" s="13">
        <v>2871230</v>
      </c>
      <c r="C5" s="13">
        <v>2627700</v>
      </c>
      <c r="D5" s="13">
        <v>2582698</v>
      </c>
      <c r="E5" s="13">
        <v>2692873</v>
      </c>
    </row>
    <row r="6" spans="1:5" x14ac:dyDescent="0.35">
      <c r="A6" s="2" t="s">
        <v>4</v>
      </c>
      <c r="B6" s="13">
        <v>2130966</v>
      </c>
      <c r="C6" s="13">
        <v>2170923</v>
      </c>
      <c r="D6" s="13">
        <v>2209923</v>
      </c>
      <c r="E6" s="13">
        <v>2548981</v>
      </c>
    </row>
    <row r="7" spans="1:5" x14ac:dyDescent="0.35">
      <c r="A7" s="2" t="s">
        <v>5</v>
      </c>
      <c r="B7" s="13">
        <v>2007402</v>
      </c>
      <c r="C7" s="13">
        <v>2131047</v>
      </c>
      <c r="D7" s="13">
        <v>2116165</v>
      </c>
      <c r="E7" s="13">
        <v>2243719</v>
      </c>
    </row>
    <row r="8" spans="1:5" x14ac:dyDescent="0.35">
      <c r="A8" s="2" t="s">
        <v>6</v>
      </c>
      <c r="B8" s="13">
        <v>2116495</v>
      </c>
      <c r="C8" s="13">
        <v>2224997</v>
      </c>
      <c r="D8" s="13">
        <v>2398381</v>
      </c>
      <c r="E8" s="13">
        <v>2359900</v>
      </c>
    </row>
    <row r="9" spans="1:5" x14ac:dyDescent="0.35">
      <c r="A9" s="2" t="s">
        <v>7</v>
      </c>
      <c r="B9" s="13">
        <v>2198783</v>
      </c>
      <c r="C9" s="13">
        <v>2325058</v>
      </c>
      <c r="D9" s="13">
        <v>2290938</v>
      </c>
      <c r="E9" s="13">
        <v>2302436</v>
      </c>
    </row>
    <row r="10" spans="1:5" x14ac:dyDescent="0.35">
      <c r="A10" s="2" t="s">
        <v>8</v>
      </c>
      <c r="B10" s="13">
        <v>2161944</v>
      </c>
      <c r="C10" s="13">
        <v>2331160</v>
      </c>
      <c r="D10" s="13">
        <v>2256668</v>
      </c>
      <c r="E10" s="13">
        <v>2342356</v>
      </c>
    </row>
    <row r="11" spans="1:5" x14ac:dyDescent="0.35">
      <c r="A11" s="2" t="s">
        <v>9</v>
      </c>
      <c r="B11" s="13">
        <v>2089389</v>
      </c>
      <c r="C11" s="13">
        <v>2139531</v>
      </c>
      <c r="D11" s="13">
        <v>2232843</v>
      </c>
      <c r="E11" s="15"/>
    </row>
    <row r="12" spans="1:5" x14ac:dyDescent="0.35">
      <c r="A12" s="2" t="s">
        <v>10</v>
      </c>
      <c r="B12" s="13">
        <v>2201443</v>
      </c>
      <c r="C12" s="13">
        <v>2371008</v>
      </c>
      <c r="D12" s="13">
        <v>2351688</v>
      </c>
      <c r="E12" s="15"/>
    </row>
    <row r="13" spans="1:5" x14ac:dyDescent="0.35">
      <c r="A13" s="2" t="s">
        <v>11</v>
      </c>
      <c r="B13" s="13">
        <v>2462569</v>
      </c>
      <c r="C13" s="13">
        <v>2620009</v>
      </c>
      <c r="D13" s="13">
        <v>2559067</v>
      </c>
      <c r="E13" s="15"/>
    </row>
    <row r="14" spans="1:5" x14ac:dyDescent="0.35">
      <c r="A14" s="2" t="s">
        <v>12</v>
      </c>
      <c r="B14" s="13">
        <v>2799227</v>
      </c>
      <c r="C14" s="13">
        <v>2690428</v>
      </c>
      <c r="D14" s="13">
        <v>2993999</v>
      </c>
      <c r="E14" s="15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Consumo Combustible</vt:lpstr>
      <vt:lpstr>Consumo GAS</vt:lpstr>
      <vt:lpstr>Consumo Eléctrico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Muntane, Martin</dc:creator>
  <cp:lastModifiedBy>Muntane, Martin</cp:lastModifiedBy>
  <dcterms:created xsi:type="dcterms:W3CDTF">2026-10-02T12:21:56Z</dcterms:created>
  <dcterms:modified xsi:type="dcterms:W3CDTF">2026-10-07T12:44:04Z</dcterms:modified>
</cp:coreProperties>
</file>