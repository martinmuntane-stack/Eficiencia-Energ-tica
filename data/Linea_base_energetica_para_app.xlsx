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a2k8414\Desktop\"/>
    </mc:Choice>
  </mc:AlternateContent>
  <xr:revisionPtr revIDLastSave="0" documentId="8_{D31C8A29-5CDF-4A97-A54D-B81256E4588B}" xr6:coauthVersionLast="47" xr6:coauthVersionMax="47" xr10:uidLastSave="{00000000-0000-0000-0000-000000000000}"/>
  <bookViews>
    <workbookView xWindow="-110" yWindow="-110" windowWidth="19420" windowHeight="11500" xr2:uid="{654F84FA-CE5E-49EC-A8DB-304A52FCC027}"/>
  </bookViews>
  <sheets>
    <sheet name="Linea Base Eléctrica (AEP)" sheetId="1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3" i="1" l="1"/>
  <c r="K53" i="1" s="1"/>
  <c r="F52" i="1"/>
  <c r="F51" i="1"/>
  <c r="G51" i="1" s="1"/>
  <c r="F50" i="1"/>
  <c r="F49" i="1"/>
  <c r="F48" i="1"/>
  <c r="K48" i="1" s="1"/>
  <c r="F47" i="1"/>
  <c r="F46" i="1"/>
  <c r="F45" i="1"/>
  <c r="K45" i="1" s="1"/>
  <c r="F44" i="1"/>
  <c r="F43" i="1"/>
  <c r="F42" i="1"/>
  <c r="K42" i="1" s="1"/>
  <c r="F41" i="1"/>
  <c r="G41" i="1" s="1"/>
  <c r="F40" i="1"/>
  <c r="F39" i="1"/>
  <c r="K39" i="1" s="1"/>
  <c r="F38" i="1"/>
  <c r="K38" i="1" s="1"/>
  <c r="U37" i="1"/>
  <c r="W37" i="1" s="1"/>
  <c r="F37" i="1"/>
  <c r="U36" i="1"/>
  <c r="W36" i="1" s="1"/>
  <c r="F36" i="1"/>
  <c r="K36" i="1" s="1"/>
  <c r="U35" i="1"/>
  <c r="V35" i="1" s="1"/>
  <c r="F35" i="1"/>
  <c r="G35" i="1" s="1"/>
  <c r="U34" i="1"/>
  <c r="W34" i="1" s="1"/>
  <c r="U33" i="1"/>
  <c r="V33" i="1" s="1"/>
  <c r="U32" i="1"/>
  <c r="V32" i="1" s="1"/>
  <c r="U31" i="1"/>
  <c r="V31" i="1" s="1"/>
  <c r="U30" i="1"/>
  <c r="W30" i="1" s="1"/>
  <c r="U29" i="1"/>
  <c r="W29" i="1" s="1"/>
  <c r="U28" i="1"/>
  <c r="V28" i="1" s="1"/>
  <c r="F28" i="1"/>
  <c r="G28" i="1" s="1"/>
  <c r="U27" i="1"/>
  <c r="W27" i="1" s="1"/>
  <c r="F27" i="1"/>
  <c r="G27" i="1" s="1"/>
  <c r="U26" i="1"/>
  <c r="W26" i="1" s="1"/>
  <c r="F26" i="1"/>
  <c r="G26" i="1" s="1"/>
  <c r="F25" i="1"/>
  <c r="K25" i="1" s="1"/>
  <c r="F24" i="1"/>
  <c r="F23" i="1"/>
  <c r="K23" i="1" s="1"/>
  <c r="F22" i="1"/>
  <c r="U21" i="1"/>
  <c r="V21" i="1" s="1"/>
  <c r="F21" i="1"/>
  <c r="G21" i="1" s="1"/>
  <c r="U20" i="1"/>
  <c r="V20" i="1" s="1"/>
  <c r="F20" i="1"/>
  <c r="U19" i="1"/>
  <c r="V19" i="1" s="1"/>
  <c r="F19" i="1"/>
  <c r="K19" i="1" s="1"/>
  <c r="U18" i="1"/>
  <c r="V18" i="1" s="1"/>
  <c r="F18" i="1"/>
  <c r="K18" i="1" s="1"/>
  <c r="U17" i="1"/>
  <c r="V17" i="1" s="1"/>
  <c r="F17" i="1"/>
  <c r="G17" i="1" s="1"/>
  <c r="U16" i="1"/>
  <c r="V16" i="1" s="1"/>
  <c r="F16" i="1"/>
  <c r="K16" i="1" s="1"/>
  <c r="U15" i="1"/>
  <c r="V15" i="1" s="1"/>
  <c r="F15" i="1"/>
  <c r="K15" i="1" s="1"/>
  <c r="U14" i="1"/>
  <c r="V14" i="1" s="1"/>
  <c r="F14" i="1"/>
  <c r="U13" i="1"/>
  <c r="V13" i="1" s="1"/>
  <c r="F13" i="1"/>
  <c r="K13" i="1" s="1"/>
  <c r="U12" i="1"/>
  <c r="V12" i="1" s="1"/>
  <c r="F12" i="1"/>
  <c r="K12" i="1" s="1"/>
  <c r="U11" i="1"/>
  <c r="V11" i="1" s="1"/>
  <c r="F11" i="1"/>
  <c r="K11" i="1" s="1"/>
  <c r="U10" i="1"/>
  <c r="V10" i="1" s="1"/>
  <c r="F10" i="1"/>
  <c r="K10" i="1" s="1"/>
  <c r="G25" i="1" l="1"/>
  <c r="G15" i="1"/>
  <c r="V26" i="1"/>
  <c r="V34" i="1"/>
  <c r="K21" i="1"/>
  <c r="K35" i="1"/>
  <c r="V27" i="1"/>
  <c r="G23" i="1"/>
  <c r="K28" i="1"/>
  <c r="G13" i="1"/>
  <c r="G18" i="1"/>
  <c r="G42" i="1"/>
  <c r="G52" i="1"/>
  <c r="W31" i="1"/>
  <c r="V36" i="1"/>
  <c r="G20" i="1"/>
  <c r="W32" i="1"/>
  <c r="G37" i="1"/>
  <c r="K44" i="1"/>
  <c r="K52" i="1"/>
  <c r="G11" i="1"/>
  <c r="G22" i="1"/>
  <c r="K27" i="1"/>
  <c r="W35" i="1"/>
  <c r="G19" i="1"/>
  <c r="W33" i="1"/>
  <c r="G39" i="1"/>
  <c r="G43" i="1"/>
  <c r="G45" i="1"/>
  <c r="G53" i="1"/>
  <c r="K14" i="1"/>
  <c r="G16" i="1"/>
  <c r="V29" i="1"/>
  <c r="G36" i="1"/>
  <c r="K37" i="1"/>
  <c r="G38" i="1"/>
  <c r="G50" i="1"/>
  <c r="G14" i="1"/>
  <c r="K46" i="1"/>
  <c r="K20" i="1"/>
  <c r="W28" i="1"/>
  <c r="G47" i="1"/>
  <c r="G10" i="1"/>
  <c r="K22" i="1"/>
  <c r="K24" i="1"/>
  <c r="K26" i="1"/>
  <c r="G12" i="1"/>
  <c r="G40" i="1"/>
  <c r="G46" i="1"/>
  <c r="K40" i="1"/>
  <c r="K50" i="1"/>
  <c r="G24" i="1"/>
  <c r="K17" i="1"/>
  <c r="G49" i="1"/>
  <c r="V30" i="1"/>
  <c r="V37" i="1"/>
  <c r="K41" i="1"/>
  <c r="K43" i="1"/>
  <c r="K47" i="1"/>
  <c r="K49" i="1"/>
  <c r="K51" i="1"/>
  <c r="G44" i="1"/>
  <c r="G48" i="1"/>
  <c r="H50" i="1" l="1"/>
  <c r="I50" i="1" s="1"/>
  <c r="L50" i="1" s="1"/>
  <c r="H38" i="1"/>
  <c r="I38" i="1"/>
  <c r="L38" i="1" s="1"/>
  <c r="J38" i="1"/>
  <c r="H42" i="1"/>
  <c r="H52" i="1"/>
  <c r="H41" i="1"/>
  <c r="H45" i="1"/>
  <c r="H44" i="1"/>
  <c r="H39" i="1"/>
  <c r="H47" i="1"/>
  <c r="J50" i="1"/>
  <c r="H53" i="1"/>
  <c r="H43" i="1"/>
  <c r="H49" i="1"/>
  <c r="H35" i="1"/>
  <c r="H36" i="1"/>
  <c r="H40" i="1"/>
  <c r="H48" i="1"/>
  <c r="H46" i="1"/>
  <c r="H37" i="1"/>
  <c r="H21" i="1"/>
  <c r="H17" i="1"/>
  <c r="H25" i="1"/>
  <c r="H10" i="1"/>
  <c r="H16" i="1"/>
  <c r="H26" i="1"/>
  <c r="H11" i="1"/>
  <c r="H14" i="1"/>
  <c r="H23" i="1"/>
  <c r="H28" i="1"/>
  <c r="H13" i="1"/>
  <c r="H24" i="1"/>
  <c r="H12" i="1"/>
  <c r="H15" i="1"/>
  <c r="H19" i="1"/>
  <c r="H22" i="1"/>
  <c r="H27" i="1"/>
  <c r="H20" i="1"/>
  <c r="H18" i="1"/>
  <c r="H51" i="1"/>
  <c r="J35" i="1" l="1"/>
  <c r="I35" i="1"/>
  <c r="L35" i="1" s="1"/>
  <c r="J49" i="1"/>
  <c r="I49" i="1"/>
  <c r="L49" i="1" s="1"/>
  <c r="I43" i="1"/>
  <c r="L43" i="1" s="1"/>
  <c r="J43" i="1"/>
  <c r="J51" i="1"/>
  <c r="I51" i="1"/>
  <c r="L51" i="1" s="1"/>
  <c r="J26" i="1"/>
  <c r="I26" i="1"/>
  <c r="L26" i="1" s="1"/>
  <c r="J53" i="1"/>
  <c r="I53" i="1"/>
  <c r="L53" i="1" s="1"/>
  <c r="J18" i="1"/>
  <c r="I18" i="1"/>
  <c r="L18" i="1" s="1"/>
  <c r="J16" i="1"/>
  <c r="I16" i="1"/>
  <c r="L16" i="1" s="1"/>
  <c r="I20" i="1"/>
  <c r="L20" i="1" s="1"/>
  <c r="J20" i="1"/>
  <c r="J10" i="1"/>
  <c r="I10" i="1"/>
  <c r="L10" i="1" s="1"/>
  <c r="I47" i="1"/>
  <c r="L47" i="1" s="1"/>
  <c r="J47" i="1"/>
  <c r="I27" i="1"/>
  <c r="L27" i="1" s="1"/>
  <c r="J27" i="1"/>
  <c r="I25" i="1"/>
  <c r="L25" i="1" s="1"/>
  <c r="J25" i="1"/>
  <c r="J39" i="1"/>
  <c r="I39" i="1"/>
  <c r="L39" i="1" s="1"/>
  <c r="I22" i="1"/>
  <c r="L22" i="1" s="1"/>
  <c r="J22" i="1"/>
  <c r="I17" i="1"/>
  <c r="L17" i="1" s="1"/>
  <c r="J17" i="1"/>
  <c r="I44" i="1"/>
  <c r="L44" i="1" s="1"/>
  <c r="J44" i="1"/>
  <c r="J19" i="1"/>
  <c r="I19" i="1"/>
  <c r="L19" i="1" s="1"/>
  <c r="J21" i="1"/>
  <c r="I21" i="1"/>
  <c r="L21" i="1" s="1"/>
  <c r="I45" i="1"/>
  <c r="L45" i="1" s="1"/>
  <c r="J45" i="1"/>
  <c r="J15" i="1"/>
  <c r="I15" i="1"/>
  <c r="L15" i="1" s="1"/>
  <c r="I37" i="1"/>
  <c r="L37" i="1" s="1"/>
  <c r="J37" i="1"/>
  <c r="J41" i="1"/>
  <c r="I41" i="1"/>
  <c r="L41" i="1" s="1"/>
  <c r="J23" i="1"/>
  <c r="I23" i="1"/>
  <c r="L23" i="1" s="1"/>
  <c r="J12" i="1"/>
  <c r="I12" i="1"/>
  <c r="L12" i="1" s="1"/>
  <c r="I46" i="1"/>
  <c r="L46" i="1" s="1"/>
  <c r="J46" i="1"/>
  <c r="J52" i="1"/>
  <c r="I52" i="1"/>
  <c r="L52" i="1" s="1"/>
  <c r="J42" i="1"/>
  <c r="I42" i="1"/>
  <c r="L42" i="1" s="1"/>
  <c r="I11" i="1"/>
  <c r="L11" i="1" s="1"/>
  <c r="J11" i="1"/>
  <c r="I24" i="1"/>
  <c r="L24" i="1" s="1"/>
  <c r="J24" i="1"/>
  <c r="J13" i="1"/>
  <c r="I13" i="1"/>
  <c r="L13" i="1" s="1"/>
  <c r="J40" i="1"/>
  <c r="I40" i="1"/>
  <c r="L40" i="1" s="1"/>
  <c r="I14" i="1"/>
  <c r="L14" i="1" s="1"/>
  <c r="J14" i="1"/>
  <c r="J48" i="1"/>
  <c r="I48" i="1"/>
  <c r="L48" i="1" s="1"/>
  <c r="J28" i="1"/>
  <c r="I28" i="1"/>
  <c r="L28" i="1" s="1"/>
  <c r="J36" i="1"/>
  <c r="I36" i="1"/>
  <c r="L36" i="1" s="1"/>
</calcChain>
</file>

<file path=xl/sharedStrings.xml><?xml version="1.0" encoding="utf-8"?>
<sst xmlns="http://schemas.openxmlformats.org/spreadsheetml/2006/main" count="68" uniqueCount="30">
  <si>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</si>
  <si>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</si>
  <si>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</si>
  <si>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</si>
  <si>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</si>
  <si>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</si>
  <si>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</si>
  <si>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</si>
  <si>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</si>
  <si>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</si>
  <si>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</si>
  <si>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</si>
  <si>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SET 01 - Edificio 5 y 6</t>
  </si>
  <si>
    <t>Ecuación LBE (SET 01)</t>
  </si>
  <si>
    <t>Mes</t>
  </si>
  <si>
    <t>CDD</t>
  </si>
  <si>
    <t>Consumo</t>
  </si>
  <si>
    <t>Año</t>
  </si>
  <si>
    <t>LBEn</t>
  </si>
  <si>
    <t>Desvio</t>
  </si>
  <si>
    <t>Desv Estandar</t>
  </si>
  <si>
    <t>LCS</t>
  </si>
  <si>
    <t>LCI</t>
  </si>
  <si>
    <t>Consumo real vs LBEn</t>
  </si>
  <si>
    <t>Consumo real vs LCS</t>
  </si>
  <si>
    <t>Y</t>
  </si>
  <si>
    <t>Ecuación LBE (SET 05)</t>
  </si>
  <si>
    <t>`</t>
  </si>
  <si>
    <t>SET 05 - Edificio 4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</si>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</sst>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0" fillId="2" borderId="1" xfId="0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9" fontId="0" fillId="0" borderId="1" xfId="2" applyFont="1" applyBorder="1" applyAlignment="1">
      <alignment horizontal="center"/>
    </xf>
    <xf numFmtId="10" fontId="0" fillId="0" borderId="1" xfId="2" applyNumberFormat="1" applyFont="1" applyBorder="1"/>
    <xf numFmtId="165" fontId="0" fillId="0" borderId="1" xfId="0" applyNumberFormat="1" applyBorder="1"/>
    <xf numFmtId="1" fontId="0" fillId="0" borderId="1" xfId="0" applyNumberFormat="1" applyBorder="1"/>
    <xf numFmtId="9" fontId="0" fillId="0" borderId="0" xfId="2" applyFont="1"/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/>
    <xf numFmtId="9" fontId="0" fillId="0" borderId="4" xfId="2" applyFont="1" applyBorder="1" applyAlignment="1">
      <alignment horizontal="center"/>
    </xf>
    <xf numFmtId="10" fontId="0" fillId="0" borderId="4" xfId="2" applyNumberFormat="1" applyFont="1" applyBorder="1"/>
    <xf numFmtId="165" fontId="0" fillId="0" borderId="4" xfId="0" applyNumberFormat="1" applyBorder="1"/>
    <xf numFmtId="1" fontId="0" fillId="0" borderId="4" xfId="0" applyNumberFormat="1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LBEn</a:t>
            </a:r>
            <a:r>
              <a:rPr lang="es-AR" baseline="0"/>
              <a:t> SET 01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417419715598708E-2"/>
                  <c:y val="-9.1891631499440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'Linea Base Eléctrica (AEP)'!$D$10:$D$21</c:f>
              <c:numCache>
                <c:formatCode>General</c:formatCode>
                <c:ptCount val="12"/>
                <c:pt idx="0">
                  <c:v>218.5</c:v>
                </c:pt>
                <c:pt idx="1">
                  <c:v>204.4</c:v>
                </c:pt>
                <c:pt idx="2">
                  <c:v>148.19999999999999</c:v>
                </c:pt>
                <c:pt idx="3">
                  <c:v>31.1</c:v>
                </c:pt>
                <c:pt idx="4">
                  <c:v>21.1</c:v>
                </c:pt>
                <c:pt idx="5">
                  <c:v>0</c:v>
                </c:pt>
                <c:pt idx="6">
                  <c:v>0</c:v>
                </c:pt>
                <c:pt idx="7">
                  <c:v>1.6</c:v>
                </c:pt>
                <c:pt idx="8">
                  <c:v>9.9</c:v>
                </c:pt>
                <c:pt idx="9">
                  <c:v>57.9</c:v>
                </c:pt>
                <c:pt idx="10">
                  <c:v>79</c:v>
                </c:pt>
                <c:pt idx="11">
                  <c:v>226.3</c:v>
                </c:pt>
              </c:numCache>
            </c:numRef>
          </c:xVal>
          <c:yVal>
            <c:numRef>
              <c:f>'Linea Base Eléctrica (AEP)'!$E$10:$E$21</c:f>
              <c:numCache>
                <c:formatCode>#,##0</c:formatCode>
                <c:ptCount val="12"/>
                <c:pt idx="0">
                  <c:v>1837021</c:v>
                </c:pt>
                <c:pt idx="1">
                  <c:v>1952184</c:v>
                </c:pt>
                <c:pt idx="2">
                  <c:v>1595199</c:v>
                </c:pt>
                <c:pt idx="3">
                  <c:v>1367477</c:v>
                </c:pt>
                <c:pt idx="4">
                  <c:v>1274985</c:v>
                </c:pt>
                <c:pt idx="5">
                  <c:v>1464033</c:v>
                </c:pt>
                <c:pt idx="6">
                  <c:v>1425087</c:v>
                </c:pt>
                <c:pt idx="7">
                  <c:v>1416390</c:v>
                </c:pt>
                <c:pt idx="8">
                  <c:v>1391554</c:v>
                </c:pt>
                <c:pt idx="9">
                  <c:v>1428643</c:v>
                </c:pt>
                <c:pt idx="10">
                  <c:v>1547026</c:v>
                </c:pt>
                <c:pt idx="11">
                  <c:v>1794106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00-48FB-BC40-1A9DEB64A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095743"/>
        <c:axId val="2107106303"/>
      </c:scatterChart>
      <c:valAx>
        <c:axId val="210709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07106303"/>
        <c:crosses val="autoZero"/>
        <c:crossBetween val="midCat"/>
      </c:valAx>
      <c:valAx>
        <c:axId val="210710630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0709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LBEn SET 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5141968110041687E-2"/>
                  <c:y val="-7.102307077426289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'Linea Base Eléctrica (AEP)'!$D$35:$D$46</c:f>
              <c:numCache>
                <c:formatCode>General</c:formatCode>
                <c:ptCount val="12"/>
                <c:pt idx="0">
                  <c:v>218.5</c:v>
                </c:pt>
                <c:pt idx="1">
                  <c:v>204.4</c:v>
                </c:pt>
                <c:pt idx="2">
                  <c:v>148.19999999999999</c:v>
                </c:pt>
                <c:pt idx="3">
                  <c:v>31.1</c:v>
                </c:pt>
                <c:pt idx="4">
                  <c:v>21.1</c:v>
                </c:pt>
                <c:pt idx="5">
                  <c:v>0</c:v>
                </c:pt>
                <c:pt idx="6">
                  <c:v>0</c:v>
                </c:pt>
                <c:pt idx="7">
                  <c:v>1.6</c:v>
                </c:pt>
                <c:pt idx="8">
                  <c:v>9.9</c:v>
                </c:pt>
                <c:pt idx="9">
                  <c:v>57.9</c:v>
                </c:pt>
                <c:pt idx="10">
                  <c:v>79</c:v>
                </c:pt>
                <c:pt idx="11">
                  <c:v>226.3</c:v>
                </c:pt>
              </c:numCache>
            </c:numRef>
          </c:xVal>
          <c:yVal>
            <c:numRef>
              <c:f>'Linea Base Eléctrica (AEP)'!$E$35:$E$46</c:f>
              <c:numCache>
                <c:formatCode>#,##0</c:formatCode>
                <c:ptCount val="12"/>
                <c:pt idx="0">
                  <c:v>1145107</c:v>
                </c:pt>
                <c:pt idx="1">
                  <c:v>994435</c:v>
                </c:pt>
                <c:pt idx="2">
                  <c:v>836587</c:v>
                </c:pt>
                <c:pt idx="3">
                  <c:v>709550</c:v>
                </c:pt>
                <c:pt idx="4">
                  <c:v>700326</c:v>
                </c:pt>
                <c:pt idx="5">
                  <c:v>735240</c:v>
                </c:pt>
                <c:pt idx="6">
                  <c:v>693999</c:v>
                </c:pt>
                <c:pt idx="7">
                  <c:v>680020</c:v>
                </c:pt>
                <c:pt idx="8">
                  <c:v>701894</c:v>
                </c:pt>
                <c:pt idx="9">
                  <c:v>780653</c:v>
                </c:pt>
                <c:pt idx="10">
                  <c:v>861697</c:v>
                </c:pt>
                <c:pt idx="11">
                  <c:v>1008422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D9-43CA-BECD-1BF66E6E2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426304"/>
        <c:axId val="1892426784"/>
      </c:scatterChart>
      <c:valAx>
        <c:axId val="189242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92426784"/>
        <c:crosses val="autoZero"/>
        <c:crossBetween val="midCat"/>
      </c:valAx>
      <c:valAx>
        <c:axId val="18924267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89242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15875</xdr:colOff>
      <xdr:row>8</xdr:row>
      <xdr:rowOff>381000</xdr:rowOff>
    </xdr:from>
    <xdr:to>
      <xdr:col>18</xdr:col>
      <xdr:colOff>587375</xdr:colOff>
      <xdr:row>25</xdr:row>
      <xdr:rowOff>31750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0E1BCAB-1DB4-4E23-9267-5682AC133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111879</xdr:colOff>
      <xdr:row>34</xdr:row>
      <xdr:rowOff>81581</xdr:rowOff>
    </xdr:from>
    <xdr:to>
      <xdr:col>18</xdr:col>
      <xdr:colOff>683379</xdr:colOff>
      <xdr:row>49</xdr:row>
      <xdr:rowOff>114300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A3F7EC9-9318-4842-A18C-C629BF267C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JD5XD0OH/RG065_AEP_EE001_V01%202.xlsx" TargetMode="External"/><Relationship Id="rId2" Type="http://schemas.openxmlformats.org/officeDocument/2006/relationships/externalLinkPath" Target="file:///C:\Users\aa2k8414\AppData\Local\Microsoft\Windows\INetCache\Content.Outlook\JD5XD0OH\RG065_AEP_EE001_V01%202.xlsx" TargetMode="External"/><Relationship Id="rId1" Type="http://schemas.openxmlformats.org/officeDocument/2006/relationships/externalLinkPath" Target="/Users/aa2k8414/AppData/Local/Microsoft/Windows/INetCache/Content.Outlook/JD5XD0OH/RG065_AEP_EE001_V01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analisis pos visita"/>
      <sheetName val="Linea Base Eléctrica (AEP)"/>
      <sheetName val="Análisis LBEn"/>
      <sheetName val="Hoja2"/>
      <sheetName val="Linea Base Gas (AEP)"/>
      <sheetName val="Consumos x Medidor (PME)"/>
      <sheetName val="LBEn Ele x Medidor"/>
    </sheetNames>
    <sheetDataSet>
      <sheetData sheetId="0"/>
      <sheetData sheetId="1"/>
      <sheetData sheetId="2">
        <row r="10">
          <cell r="AH10">
            <v>218.5</v>
          </cell>
          <cell r="AI10">
            <v>1837021</v>
          </cell>
        </row>
        <row r="11">
          <cell r="AH11">
            <v>204.4</v>
          </cell>
          <cell r="AI11">
            <v>1952184</v>
          </cell>
        </row>
        <row r="12">
          <cell r="AH12">
            <v>148.19999999999999</v>
          </cell>
          <cell r="AI12">
            <v>1595199</v>
          </cell>
        </row>
        <row r="13">
          <cell r="AH13">
            <v>31.1</v>
          </cell>
          <cell r="AI13">
            <v>1367477</v>
          </cell>
        </row>
        <row r="14">
          <cell r="AB14">
            <v>1.8</v>
          </cell>
          <cell r="AC14">
            <v>1997861</v>
          </cell>
          <cell r="AH14">
            <v>21.1</v>
          </cell>
          <cell r="AI14">
            <v>1274985</v>
          </cell>
        </row>
        <row r="15">
          <cell r="AB15">
            <v>9.3000000000000007</v>
          </cell>
          <cell r="AC15">
            <v>2043356</v>
          </cell>
          <cell r="AH15">
            <v>0</v>
          </cell>
          <cell r="AI15">
            <v>1464033</v>
          </cell>
        </row>
        <row r="16">
          <cell r="AB16">
            <v>1</v>
          </cell>
          <cell r="AC16">
            <v>2127834</v>
          </cell>
          <cell r="AH16">
            <v>0</v>
          </cell>
          <cell r="AI16">
            <v>1425087</v>
          </cell>
        </row>
        <row r="17">
          <cell r="AB17">
            <v>3.8</v>
          </cell>
          <cell r="AC17">
            <v>2132957</v>
          </cell>
          <cell r="AH17">
            <v>1.6</v>
          </cell>
          <cell r="AI17">
            <v>1416390</v>
          </cell>
        </row>
        <row r="18">
          <cell r="AB18">
            <v>19</v>
          </cell>
          <cell r="AC18">
            <v>1976842</v>
          </cell>
          <cell r="AH18">
            <v>9.9</v>
          </cell>
          <cell r="AI18">
            <v>1391554</v>
          </cell>
        </row>
        <row r="19">
          <cell r="AB19">
            <v>69</v>
          </cell>
          <cell r="AC19">
            <v>2222044</v>
          </cell>
          <cell r="AH19">
            <v>57.9</v>
          </cell>
          <cell r="AI19">
            <v>1428643</v>
          </cell>
        </row>
        <row r="20">
          <cell r="AB20">
            <v>111.1</v>
          </cell>
          <cell r="AC20">
            <v>2468362</v>
          </cell>
          <cell r="AH20">
            <v>79</v>
          </cell>
          <cell r="AI20">
            <v>1547026</v>
          </cell>
        </row>
        <row r="21">
          <cell r="AB21">
            <v>121.6</v>
          </cell>
          <cell r="AC21">
            <v>2522742</v>
          </cell>
          <cell r="AH21">
            <v>226.3</v>
          </cell>
          <cell r="AI21">
            <v>1794106</v>
          </cell>
        </row>
        <row r="22">
          <cell r="AB22">
            <v>218.5</v>
          </cell>
          <cell r="AC22">
            <v>2982128</v>
          </cell>
        </row>
        <row r="23">
          <cell r="AB23">
            <v>204.4</v>
          </cell>
          <cell r="AC23">
            <v>2946619</v>
          </cell>
        </row>
        <row r="24">
          <cell r="AB24">
            <v>148.19999999999999</v>
          </cell>
          <cell r="AC24">
            <v>2431786</v>
          </cell>
        </row>
        <row r="25">
          <cell r="AB25">
            <v>31.1</v>
          </cell>
          <cell r="AC25">
            <v>2077027</v>
          </cell>
        </row>
        <row r="26">
          <cell r="AB26">
            <v>21.1</v>
          </cell>
          <cell r="AC26">
            <v>1975311</v>
          </cell>
        </row>
        <row r="27">
          <cell r="AB27">
            <v>0</v>
          </cell>
          <cell r="AC27">
            <v>2199273</v>
          </cell>
        </row>
        <row r="28">
          <cell r="AB28">
            <v>0</v>
          </cell>
          <cell r="AC28">
            <v>2119086</v>
          </cell>
        </row>
        <row r="29">
          <cell r="AB29">
            <v>1.6</v>
          </cell>
          <cell r="AC29">
            <v>2096410</v>
          </cell>
        </row>
        <row r="30">
          <cell r="AB30">
            <v>9.9</v>
          </cell>
          <cell r="AC30">
            <v>2093448</v>
          </cell>
        </row>
        <row r="31">
          <cell r="AB31">
            <v>57.9</v>
          </cell>
          <cell r="AC31">
            <v>2209296</v>
          </cell>
        </row>
        <row r="32">
          <cell r="AB32">
            <v>79</v>
          </cell>
          <cell r="AC32">
            <v>2408723</v>
          </cell>
        </row>
        <row r="33">
          <cell r="AB33">
            <v>226.3</v>
          </cell>
          <cell r="AC33">
            <v>2802528</v>
          </cell>
        </row>
        <row r="35">
          <cell r="AH35">
            <v>218.5</v>
          </cell>
          <cell r="AI35">
            <v>1145107</v>
          </cell>
        </row>
        <row r="36">
          <cell r="AH36">
            <v>204.4</v>
          </cell>
          <cell r="AI36">
            <v>994435</v>
          </cell>
        </row>
        <row r="37">
          <cell r="AH37">
            <v>148.19999999999999</v>
          </cell>
          <cell r="AI37">
            <v>836587</v>
          </cell>
        </row>
        <row r="38">
          <cell r="AH38">
            <v>31.1</v>
          </cell>
          <cell r="AI38">
            <v>709550</v>
          </cell>
        </row>
        <row r="39">
          <cell r="AH39">
            <v>21.1</v>
          </cell>
          <cell r="AI39">
            <v>700326</v>
          </cell>
        </row>
        <row r="40">
          <cell r="AH40">
            <v>0</v>
          </cell>
          <cell r="AI40">
            <v>735240</v>
          </cell>
        </row>
        <row r="41">
          <cell r="AH41">
            <v>0</v>
          </cell>
          <cell r="AI41">
            <v>693999</v>
          </cell>
        </row>
        <row r="42">
          <cell r="AH42">
            <v>1.6</v>
          </cell>
          <cell r="AI42">
            <v>680020</v>
          </cell>
        </row>
        <row r="43">
          <cell r="AH43">
            <v>9.9</v>
          </cell>
          <cell r="AI43">
            <v>701894</v>
          </cell>
        </row>
        <row r="44">
          <cell r="AH44">
            <v>57.9</v>
          </cell>
          <cell r="AI44">
            <v>780653</v>
          </cell>
        </row>
        <row r="45">
          <cell r="AH45">
            <v>79</v>
          </cell>
          <cell r="AI45">
            <v>861697</v>
          </cell>
        </row>
        <row r="46">
          <cell r="AH46">
            <v>226.3</v>
          </cell>
          <cell r="AI46">
            <v>1008422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B185-ED0F-43B9-83CD-B983ECA4F67D}">
  <dimension ref="B1:W53"/>
  <sheetViews>
    <sheetView showGridLines="0" tabSelected="1" topLeftCell="A5" zoomScale="43" zoomScaleNormal="86" workbookViewId="0">
      <selection activeCell="AB37" sqref="AB37"/>
    </sheetView>
  </sheetViews>
  <sheetFormatPr baseColWidth="10" defaultColWidth="11.453125" defaultRowHeight="14.5" x14ac:dyDescent="0.35"/>
  <cols>
    <col min="9" max="10" width="12.6328125" bestFit="1" customWidth="1"/>
  </cols>
  <sheetData>
    <row r="1" spans="2:23" ht="14.5" customHeight="1" x14ac:dyDescent="0.35"/>
    <row r="3" spans="2:23" ht="22" customHeight="1" x14ac:dyDescent="0.35"/>
    <row r="4" spans="2:23" ht="22" customHeight="1" x14ac:dyDescent="0.35"/>
    <row r="8" spans="2:23" x14ac:dyDescent="0.35">
      <c r="B8" s="4" t="s">
        <v>12</v>
      </c>
      <c r="C8" s="4"/>
      <c r="D8" s="4"/>
      <c r="E8" s="4"/>
      <c r="F8" s="4"/>
      <c r="G8" s="4"/>
      <c r="H8" s="4"/>
      <c r="I8" s="4"/>
      <c r="J8" s="4"/>
      <c r="K8" s="4"/>
      <c r="L8" s="4"/>
      <c r="M8" s="5"/>
      <c r="U8" s="6" t="s">
        <v>13</v>
      </c>
      <c r="V8" s="6"/>
      <c r="W8" s="6"/>
    </row>
    <row r="9" spans="2:23" ht="29" x14ac:dyDescent="0.35">
      <c r="B9" s="9" t="s">
        <v>17</v>
      </c>
      <c r="C9" s="9" t="s">
        <v>14</v>
      </c>
      <c r="D9" s="9" t="s">
        <v>15</v>
      </c>
      <c r="E9" s="9" t="s">
        <v>16</v>
      </c>
      <c r="F9" s="9" t="s">
        <v>18</v>
      </c>
      <c r="G9" s="9" t="s">
        <v>19</v>
      </c>
      <c r="H9" s="9" t="s">
        <v>20</v>
      </c>
      <c r="I9" s="9" t="s">
        <v>21</v>
      </c>
      <c r="J9" s="9" t="s">
        <v>22</v>
      </c>
      <c r="K9" s="10" t="s">
        <v>23</v>
      </c>
      <c r="L9" s="10" t="s">
        <v>24</v>
      </c>
      <c r="M9" s="11"/>
      <c r="U9" s="12" t="s">
        <v>25</v>
      </c>
      <c r="V9" s="13">
        <v>2149</v>
      </c>
      <c r="W9" s="13">
        <v>1362378</v>
      </c>
    </row>
    <row r="10" spans="2:23" x14ac:dyDescent="0.35">
      <c r="B10" s="8">
        <v>2025</v>
      </c>
      <c r="C10" s="1" t="s">
        <v>0</v>
      </c>
      <c r="D10" s="14">
        <v>218.5</v>
      </c>
      <c r="E10" s="3">
        <v>1837021</v>
      </c>
      <c r="F10" s="15">
        <f>$V$9*D10+$W$9</f>
        <v>1831934.5</v>
      </c>
      <c r="G10" s="16">
        <f>(E10-F10)/F10</f>
        <v>2.7765730707074955E-3</v>
      </c>
      <c r="H10" s="17">
        <f>STDEV($G$10:$G$21)</f>
        <v>5.3877367170780503E-2</v>
      </c>
      <c r="I10" s="18">
        <f>F10+F10*H10</f>
        <v>1930634.3076893203</v>
      </c>
      <c r="J10" s="18">
        <f>F10-H10*F10</f>
        <v>1733234.6923106797</v>
      </c>
      <c r="K10" s="15">
        <f>E10-F10</f>
        <v>5086.5</v>
      </c>
      <c r="L10" s="19">
        <f>E10-I10</f>
        <v>-93613.307689320296</v>
      </c>
      <c r="U10" s="2">
        <f t="shared" ref="U10:U21" si="0">+$V$9*D10+$W$9</f>
        <v>1831934.5</v>
      </c>
      <c r="V10" s="20">
        <f t="shared" ref="V10:V21" si="1">+E10/U10</f>
        <v>1.0027765730707074</v>
      </c>
      <c r="W10" s="20"/>
    </row>
    <row r="11" spans="2:23" x14ac:dyDescent="0.35">
      <c r="B11" s="8"/>
      <c r="C11" s="1" t="s">
        <v>1</v>
      </c>
      <c r="D11" s="14">
        <v>204.4</v>
      </c>
      <c r="E11" s="3">
        <v>1952184</v>
      </c>
      <c r="F11" s="15">
        <f t="shared" ref="F11:F28" si="2">$V$9*D11+$W$9</f>
        <v>1801633.6</v>
      </c>
      <c r="G11" s="16">
        <f t="shared" ref="G11:G28" si="3">(E11-F11)/F11</f>
        <v>8.3563272798642244E-2</v>
      </c>
      <c r="H11" s="17">
        <f t="shared" ref="H11:H28" si="4">STDEV($G$10:$G$21)</f>
        <v>5.3877367170780503E-2</v>
      </c>
      <c r="I11" s="18">
        <f t="shared" ref="I11:I28" si="5">F11+F11*H11</f>
        <v>1898700.8749744152</v>
      </c>
      <c r="J11" s="18">
        <f t="shared" ref="J11:J28" si="6">F11-H11*F11</f>
        <v>1704566.325025585</v>
      </c>
      <c r="K11" s="15">
        <f t="shared" ref="K11:K28" si="7">E11-F11</f>
        <v>150550.39999999991</v>
      </c>
      <c r="L11" s="19">
        <f t="shared" ref="L11:L28" si="8">E11-I11</f>
        <v>53483.125025584828</v>
      </c>
      <c r="U11" s="2">
        <f t="shared" si="0"/>
        <v>1801633.6</v>
      </c>
      <c r="V11" s="20">
        <f t="shared" si="1"/>
        <v>1.0835632727986422</v>
      </c>
      <c r="W11" s="20"/>
    </row>
    <row r="12" spans="2:23" x14ac:dyDescent="0.35">
      <c r="B12" s="8"/>
      <c r="C12" s="1" t="s">
        <v>2</v>
      </c>
      <c r="D12" s="14">
        <v>148.19999999999999</v>
      </c>
      <c r="E12" s="3">
        <v>1595199</v>
      </c>
      <c r="F12" s="15">
        <f t="shared" si="2"/>
        <v>1680859.8</v>
      </c>
      <c r="G12" s="16">
        <f t="shared" si="3"/>
        <v>-5.0962489554453053E-2</v>
      </c>
      <c r="H12" s="17">
        <f t="shared" si="4"/>
        <v>5.3877367170780503E-2</v>
      </c>
      <c r="I12" s="18">
        <f t="shared" si="5"/>
        <v>1771420.1006072047</v>
      </c>
      <c r="J12" s="18">
        <f t="shared" si="6"/>
        <v>1590299.4993927954</v>
      </c>
      <c r="K12" s="15">
        <f t="shared" si="7"/>
        <v>-85660.800000000047</v>
      </c>
      <c r="L12" s="19">
        <f t="shared" si="8"/>
        <v>-176221.10060720472</v>
      </c>
      <c r="U12" s="2">
        <f t="shared" si="0"/>
        <v>1680859.8</v>
      </c>
      <c r="V12" s="20">
        <f t="shared" si="1"/>
        <v>0.94903751044554696</v>
      </c>
      <c r="W12" s="20"/>
    </row>
    <row r="13" spans="2:23" x14ac:dyDescent="0.35">
      <c r="B13" s="8"/>
      <c r="C13" s="1" t="s">
        <v>3</v>
      </c>
      <c r="D13" s="14">
        <v>31.1</v>
      </c>
      <c r="E13" s="3">
        <v>1367477</v>
      </c>
      <c r="F13" s="15">
        <f t="shared" si="2"/>
        <v>1429211.9</v>
      </c>
      <c r="G13" s="16">
        <f t="shared" si="3"/>
        <v>-4.3195064356796854E-2</v>
      </c>
      <c r="H13" s="17">
        <f t="shared" si="4"/>
        <v>5.3877367170780503E-2</v>
      </c>
      <c r="I13" s="18">
        <f t="shared" si="5"/>
        <v>1506214.0743011488</v>
      </c>
      <c r="J13" s="18">
        <f t="shared" si="6"/>
        <v>1352209.725698851</v>
      </c>
      <c r="K13" s="15">
        <f t="shared" si="7"/>
        <v>-61734.899999999907</v>
      </c>
      <c r="L13" s="19">
        <f t="shared" si="8"/>
        <v>-138737.07430114876</v>
      </c>
      <c r="U13" s="2">
        <f t="shared" si="0"/>
        <v>1429211.9</v>
      </c>
      <c r="V13" s="20">
        <f t="shared" si="1"/>
        <v>0.95680493564320312</v>
      </c>
      <c r="W13" s="20"/>
    </row>
    <row r="14" spans="2:23" x14ac:dyDescent="0.35">
      <c r="B14" s="8"/>
      <c r="C14" s="1" t="s">
        <v>4</v>
      </c>
      <c r="D14" s="14">
        <v>21.1</v>
      </c>
      <c r="E14" s="3">
        <v>1274985</v>
      </c>
      <c r="F14" s="15">
        <f t="shared" si="2"/>
        <v>1407721.9</v>
      </c>
      <c r="G14" s="16">
        <f t="shared" si="3"/>
        <v>-9.4291990484768273E-2</v>
      </c>
      <c r="H14" s="17">
        <f t="shared" si="4"/>
        <v>5.3877367170780503E-2</v>
      </c>
      <c r="I14" s="18">
        <f t="shared" si="5"/>
        <v>1483566.2496806486</v>
      </c>
      <c r="J14" s="18">
        <f t="shared" si="6"/>
        <v>1331877.5503193513</v>
      </c>
      <c r="K14" s="15">
        <f t="shared" si="7"/>
        <v>-132736.89999999991</v>
      </c>
      <c r="L14" s="19">
        <f t="shared" si="8"/>
        <v>-208581.24968064856</v>
      </c>
      <c r="U14" s="2">
        <f t="shared" si="0"/>
        <v>1407721.9</v>
      </c>
      <c r="V14" s="20">
        <f t="shared" si="1"/>
        <v>0.90570800951523167</v>
      </c>
      <c r="W14" s="20"/>
    </row>
    <row r="15" spans="2:23" x14ac:dyDescent="0.35">
      <c r="B15" s="8"/>
      <c r="C15" s="1" t="s">
        <v>5</v>
      </c>
      <c r="D15" s="14">
        <v>0</v>
      </c>
      <c r="E15" s="3">
        <v>1464033</v>
      </c>
      <c r="F15" s="15">
        <f t="shared" si="2"/>
        <v>1362378</v>
      </c>
      <c r="G15" s="16">
        <f t="shared" si="3"/>
        <v>7.4615855511465976E-2</v>
      </c>
      <c r="H15" s="17">
        <f t="shared" si="4"/>
        <v>5.3877367170780503E-2</v>
      </c>
      <c r="I15" s="18">
        <f t="shared" si="5"/>
        <v>1435779.3397313936</v>
      </c>
      <c r="J15" s="18">
        <f t="shared" si="6"/>
        <v>1288976.6602686064</v>
      </c>
      <c r="K15" s="15">
        <f t="shared" si="7"/>
        <v>101655</v>
      </c>
      <c r="L15" s="19">
        <f t="shared" si="8"/>
        <v>28253.660268606385</v>
      </c>
      <c r="U15" s="2">
        <f t="shared" si="0"/>
        <v>1362378</v>
      </c>
      <c r="V15" s="20">
        <f t="shared" si="1"/>
        <v>1.074615855511466</v>
      </c>
      <c r="W15" s="20"/>
    </row>
    <row r="16" spans="2:23" x14ac:dyDescent="0.35">
      <c r="B16" s="8"/>
      <c r="C16" s="1" t="s">
        <v>6</v>
      </c>
      <c r="D16" s="14">
        <v>0</v>
      </c>
      <c r="E16" s="3">
        <v>1425087</v>
      </c>
      <c r="F16" s="15">
        <f t="shared" si="2"/>
        <v>1362378</v>
      </c>
      <c r="G16" s="16">
        <f t="shared" si="3"/>
        <v>4.6029075630992282E-2</v>
      </c>
      <c r="H16" s="17">
        <f t="shared" si="4"/>
        <v>5.3877367170780503E-2</v>
      </c>
      <c r="I16" s="18">
        <f t="shared" si="5"/>
        <v>1435779.3397313936</v>
      </c>
      <c r="J16" s="18">
        <f t="shared" si="6"/>
        <v>1288976.6602686064</v>
      </c>
      <c r="K16" s="15">
        <f t="shared" si="7"/>
        <v>62709</v>
      </c>
      <c r="L16" s="19">
        <f t="shared" si="8"/>
        <v>-10692.339731393615</v>
      </c>
      <c r="U16" s="2">
        <f t="shared" si="0"/>
        <v>1362378</v>
      </c>
      <c r="V16" s="20">
        <f t="shared" si="1"/>
        <v>1.0460290756309922</v>
      </c>
      <c r="W16" s="20"/>
    </row>
    <row r="17" spans="2:23" x14ac:dyDescent="0.35">
      <c r="B17" s="8"/>
      <c r="C17" s="1" t="s">
        <v>7</v>
      </c>
      <c r="D17" s="14">
        <v>1.6</v>
      </c>
      <c r="E17" s="3">
        <v>1416390</v>
      </c>
      <c r="F17" s="15">
        <f t="shared" si="2"/>
        <v>1365816.4</v>
      </c>
      <c r="G17" s="16">
        <f t="shared" si="3"/>
        <v>3.7028110073945589E-2</v>
      </c>
      <c r="H17" s="17">
        <f t="shared" si="4"/>
        <v>5.3877367170780503E-2</v>
      </c>
      <c r="I17" s="18">
        <f t="shared" si="5"/>
        <v>1439402.9916706735</v>
      </c>
      <c r="J17" s="18">
        <f t="shared" si="6"/>
        <v>1292229.8083293263</v>
      </c>
      <c r="K17" s="15">
        <f t="shared" si="7"/>
        <v>50573.600000000093</v>
      </c>
      <c r="L17" s="19">
        <f t="shared" si="8"/>
        <v>-23012.99167067348</v>
      </c>
      <c r="U17" s="2">
        <f t="shared" si="0"/>
        <v>1365816.4</v>
      </c>
      <c r="V17" s="20">
        <f t="shared" si="1"/>
        <v>1.0370281100739456</v>
      </c>
      <c r="W17" s="20"/>
    </row>
    <row r="18" spans="2:23" x14ac:dyDescent="0.35">
      <c r="B18" s="8"/>
      <c r="C18" s="1" t="s">
        <v>8</v>
      </c>
      <c r="D18" s="14">
        <v>9.9</v>
      </c>
      <c r="E18" s="3">
        <v>1391554</v>
      </c>
      <c r="F18" s="15">
        <f t="shared" si="2"/>
        <v>1383653.1</v>
      </c>
      <c r="G18" s="16">
        <f t="shared" si="3"/>
        <v>5.7101740313377008E-3</v>
      </c>
      <c r="H18" s="17">
        <f t="shared" si="4"/>
        <v>5.3877367170780503E-2</v>
      </c>
      <c r="I18" s="18">
        <f t="shared" si="5"/>
        <v>1458200.6861056888</v>
      </c>
      <c r="J18" s="18">
        <f t="shared" si="6"/>
        <v>1309105.5138943114</v>
      </c>
      <c r="K18" s="15">
        <f t="shared" si="7"/>
        <v>7900.8999999999069</v>
      </c>
      <c r="L18" s="19">
        <f t="shared" si="8"/>
        <v>-66646.686105688801</v>
      </c>
      <c r="U18" s="2">
        <f t="shared" si="0"/>
        <v>1383653.1</v>
      </c>
      <c r="V18" s="20">
        <f t="shared" si="1"/>
        <v>1.0057101740313377</v>
      </c>
      <c r="W18" s="20"/>
    </row>
    <row r="19" spans="2:23" x14ac:dyDescent="0.35">
      <c r="B19" s="8"/>
      <c r="C19" s="1" t="s">
        <v>9</v>
      </c>
      <c r="D19" s="14">
        <v>57.9</v>
      </c>
      <c r="E19" s="3">
        <v>1428643</v>
      </c>
      <c r="F19" s="15">
        <f t="shared" si="2"/>
        <v>1486805.1</v>
      </c>
      <c r="G19" s="16">
        <f t="shared" si="3"/>
        <v>-3.9118846175601692E-2</v>
      </c>
      <c r="H19" s="17">
        <f t="shared" si="4"/>
        <v>5.3877367170780503E-2</v>
      </c>
      <c r="I19" s="18">
        <f t="shared" si="5"/>
        <v>1566910.2442840892</v>
      </c>
      <c r="J19" s="18">
        <f t="shared" si="6"/>
        <v>1406699.955715911</v>
      </c>
      <c r="K19" s="15">
        <f t="shared" si="7"/>
        <v>-58162.100000000093</v>
      </c>
      <c r="L19" s="19">
        <f t="shared" si="8"/>
        <v>-138267.24428408919</v>
      </c>
      <c r="U19" s="2">
        <f t="shared" si="0"/>
        <v>1486805.1</v>
      </c>
      <c r="V19" s="20">
        <f t="shared" si="1"/>
        <v>0.96088115382439832</v>
      </c>
      <c r="W19" s="20"/>
    </row>
    <row r="20" spans="2:23" x14ac:dyDescent="0.35">
      <c r="B20" s="8"/>
      <c r="C20" s="1" t="s">
        <v>10</v>
      </c>
      <c r="D20" s="14">
        <v>79</v>
      </c>
      <c r="E20" s="3">
        <v>1547026</v>
      </c>
      <c r="F20" s="15">
        <f t="shared" si="2"/>
        <v>1532149</v>
      </c>
      <c r="G20" s="16">
        <f t="shared" si="3"/>
        <v>9.7098911398303955E-3</v>
      </c>
      <c r="H20" s="17">
        <f t="shared" si="4"/>
        <v>5.3877367170780503E-2</v>
      </c>
      <c r="I20" s="18">
        <f t="shared" si="5"/>
        <v>1614697.1542333441</v>
      </c>
      <c r="J20" s="18">
        <f t="shared" si="6"/>
        <v>1449600.8457666559</v>
      </c>
      <c r="K20" s="15">
        <f t="shared" si="7"/>
        <v>14877</v>
      </c>
      <c r="L20" s="19">
        <f t="shared" si="8"/>
        <v>-67671.154233344132</v>
      </c>
      <c r="U20" s="2">
        <f t="shared" si="0"/>
        <v>1532149</v>
      </c>
      <c r="V20" s="20">
        <f t="shared" si="1"/>
        <v>1.0097098911398303</v>
      </c>
      <c r="W20" s="20"/>
    </row>
    <row r="21" spans="2:23" ht="14.5" customHeight="1" x14ac:dyDescent="0.35">
      <c r="B21" s="21"/>
      <c r="C21" s="22" t="s">
        <v>11</v>
      </c>
      <c r="D21" s="23">
        <v>226.3</v>
      </c>
      <c r="E21" s="3">
        <v>1794106</v>
      </c>
      <c r="F21" s="24">
        <f t="shared" si="2"/>
        <v>1848696.7</v>
      </c>
      <c r="G21" s="25">
        <f t="shared" si="3"/>
        <v>-2.9529289471874946E-2</v>
      </c>
      <c r="H21" s="26">
        <f t="shared" si="4"/>
        <v>5.3877367170780503E-2</v>
      </c>
      <c r="I21" s="27">
        <f t="shared" si="5"/>
        <v>1948299.6108933103</v>
      </c>
      <c r="J21" s="27">
        <f t="shared" si="6"/>
        <v>1749093.7891066896</v>
      </c>
      <c r="K21" s="24">
        <f t="shared" si="7"/>
        <v>-54590.699999999953</v>
      </c>
      <c r="L21" s="28">
        <f t="shared" si="8"/>
        <v>-154193.61089331028</v>
      </c>
      <c r="U21" s="2">
        <f t="shared" si="0"/>
        <v>1848696.7</v>
      </c>
      <c r="V21" s="20">
        <f t="shared" si="1"/>
        <v>0.97047071052812506</v>
      </c>
      <c r="W21" s="20"/>
    </row>
    <row r="22" spans="2:23" ht="14.5" customHeight="1" x14ac:dyDescent="0.35">
      <c r="B22" s="8">
        <v>2026</v>
      </c>
      <c r="C22" s="1" t="s">
        <v>0</v>
      </c>
      <c r="D22" s="29">
        <v>191.6</v>
      </c>
      <c r="E22" s="2">
        <v>1962588</v>
      </c>
      <c r="F22" s="15">
        <f t="shared" si="2"/>
        <v>1774126.4</v>
      </c>
      <c r="G22" s="16">
        <f t="shared" si="3"/>
        <v>0.10622783134279502</v>
      </c>
      <c r="H22" s="17">
        <f t="shared" si="4"/>
        <v>5.3877367170780503E-2</v>
      </c>
      <c r="I22" s="18">
        <f t="shared" si="5"/>
        <v>1869711.6594601749</v>
      </c>
      <c r="J22" s="18">
        <f t="shared" si="6"/>
        <v>1678541.140539825</v>
      </c>
      <c r="K22" s="15">
        <f t="shared" si="7"/>
        <v>188461.60000000009</v>
      </c>
      <c r="L22" s="19">
        <f t="shared" si="8"/>
        <v>92876.340539825149</v>
      </c>
    </row>
    <row r="23" spans="2:23" ht="14.5" customHeight="1" x14ac:dyDescent="0.35">
      <c r="B23" s="8"/>
      <c r="C23" s="1" t="s">
        <v>1</v>
      </c>
      <c r="D23" s="29">
        <v>179</v>
      </c>
      <c r="E23" s="2">
        <v>1986485</v>
      </c>
      <c r="F23" s="15">
        <f t="shared" si="2"/>
        <v>1747049</v>
      </c>
      <c r="G23" s="16">
        <f t="shared" si="3"/>
        <v>0.13705167971819909</v>
      </c>
      <c r="H23" s="17">
        <f t="shared" si="4"/>
        <v>5.3877367170780503E-2</v>
      </c>
      <c r="I23" s="18">
        <f t="shared" si="5"/>
        <v>1841175.4004383448</v>
      </c>
      <c r="J23" s="18">
        <f t="shared" si="6"/>
        <v>1652922.5995616552</v>
      </c>
      <c r="K23" s="15">
        <f t="shared" si="7"/>
        <v>239436</v>
      </c>
      <c r="L23" s="19">
        <f t="shared" si="8"/>
        <v>145309.5995616552</v>
      </c>
    </row>
    <row r="24" spans="2:23" ht="14.5" customHeight="1" x14ac:dyDescent="0.35">
      <c r="B24" s="8"/>
      <c r="C24" s="1" t="s">
        <v>2</v>
      </c>
      <c r="D24" s="29">
        <v>139</v>
      </c>
      <c r="E24" s="2">
        <v>1592372</v>
      </c>
      <c r="F24" s="15">
        <f t="shared" si="2"/>
        <v>1661089</v>
      </c>
      <c r="G24" s="16">
        <f t="shared" si="3"/>
        <v>-4.1368644305031219E-2</v>
      </c>
      <c r="H24" s="17">
        <f t="shared" si="4"/>
        <v>5.3877367170780503E-2</v>
      </c>
      <c r="I24" s="18">
        <f t="shared" si="5"/>
        <v>1750584.1019563447</v>
      </c>
      <c r="J24" s="18">
        <f t="shared" si="6"/>
        <v>1571593.8980436553</v>
      </c>
      <c r="K24" s="15">
        <f t="shared" si="7"/>
        <v>-68717</v>
      </c>
      <c r="L24" s="19">
        <f t="shared" si="8"/>
        <v>-158212.10195634468</v>
      </c>
      <c r="U24" s="6" t="s">
        <v>26</v>
      </c>
      <c r="V24" s="6"/>
      <c r="W24" s="6"/>
    </row>
    <row r="25" spans="2:23" ht="14.5" customHeight="1" x14ac:dyDescent="0.35">
      <c r="B25" s="8"/>
      <c r="C25" s="1" t="s">
        <v>3</v>
      </c>
      <c r="D25" s="29">
        <v>63.3</v>
      </c>
      <c r="E25" s="2">
        <v>1611744</v>
      </c>
      <c r="F25" s="15">
        <f t="shared" si="2"/>
        <v>1498409.7</v>
      </c>
      <c r="G25" s="16">
        <f t="shared" si="3"/>
        <v>7.5636389700360351E-2</v>
      </c>
      <c r="H25" s="17">
        <f t="shared" si="4"/>
        <v>5.3877367170780503E-2</v>
      </c>
      <c r="I25" s="18">
        <f t="shared" si="5"/>
        <v>1579140.0695791589</v>
      </c>
      <c r="J25" s="18">
        <f t="shared" si="6"/>
        <v>1417679.330420841</v>
      </c>
      <c r="K25" s="15">
        <f t="shared" si="7"/>
        <v>113334.30000000005</v>
      </c>
      <c r="L25" s="19">
        <f t="shared" si="8"/>
        <v>32603.93042084109</v>
      </c>
      <c r="U25" s="12" t="s">
        <v>25</v>
      </c>
      <c r="V25" s="13">
        <v>1594</v>
      </c>
      <c r="W25" s="13">
        <v>688045</v>
      </c>
    </row>
    <row r="26" spans="2:23" ht="13" customHeight="1" x14ac:dyDescent="0.35">
      <c r="B26" s="8"/>
      <c r="C26" s="1" t="s">
        <v>4</v>
      </c>
      <c r="D26" s="29">
        <v>6.5</v>
      </c>
      <c r="E26" s="2">
        <v>1389830</v>
      </c>
      <c r="F26" s="15">
        <f t="shared" si="2"/>
        <v>1376346.5</v>
      </c>
      <c r="G26" s="16">
        <f t="shared" si="3"/>
        <v>9.7965882864525754E-3</v>
      </c>
      <c r="H26" s="17">
        <f t="shared" si="4"/>
        <v>5.3877367170780503E-2</v>
      </c>
      <c r="I26" s="18">
        <f t="shared" si="5"/>
        <v>1450500.4257347186</v>
      </c>
      <c r="J26" s="18">
        <f t="shared" si="6"/>
        <v>1302192.5742652814</v>
      </c>
      <c r="K26" s="15">
        <f t="shared" si="7"/>
        <v>13483.5</v>
      </c>
      <c r="L26" s="19">
        <f t="shared" si="8"/>
        <v>-60670.425734718563</v>
      </c>
      <c r="M26" s="5"/>
      <c r="U26" s="2">
        <f t="shared" ref="U26:U37" si="9">+$V$25*D35+$W$25</f>
        <v>1036334</v>
      </c>
      <c r="V26" s="20">
        <f t="shared" ref="V26:V37" si="10">+E35/U26</f>
        <v>1.1049594049794758</v>
      </c>
      <c r="W26" s="20">
        <f t="shared" ref="W26:W37" si="11">+(E35-U26)/U26</f>
        <v>0.10495940497947573</v>
      </c>
    </row>
    <row r="27" spans="2:23" ht="13" customHeight="1" x14ac:dyDescent="0.35">
      <c r="B27" s="8"/>
      <c r="C27" s="1" t="s">
        <v>5</v>
      </c>
      <c r="D27" s="29">
        <v>0.1</v>
      </c>
      <c r="E27" s="2">
        <v>1451443</v>
      </c>
      <c r="F27" s="15">
        <f t="shared" si="2"/>
        <v>1362592.9</v>
      </c>
      <c r="G27" s="16">
        <f t="shared" si="3"/>
        <v>6.5206636553001338E-2</v>
      </c>
      <c r="H27" s="17">
        <f t="shared" si="4"/>
        <v>5.3877367170780503E-2</v>
      </c>
      <c r="I27" s="18">
        <f t="shared" si="5"/>
        <v>1436005.8179775984</v>
      </c>
      <c r="J27" s="18">
        <f t="shared" si="6"/>
        <v>1289179.9820224014</v>
      </c>
      <c r="K27" s="15">
        <f t="shared" si="7"/>
        <v>88850.100000000093</v>
      </c>
      <c r="L27" s="19">
        <f t="shared" si="8"/>
        <v>15437.182022401597</v>
      </c>
      <c r="M27" s="5"/>
      <c r="U27" s="2">
        <f t="shared" si="9"/>
        <v>1013858.6000000001</v>
      </c>
      <c r="V27" s="20">
        <f t="shared" si="10"/>
        <v>0.98084190438390517</v>
      </c>
      <c r="W27" s="20">
        <f t="shared" si="11"/>
        <v>-1.915809561609488E-2</v>
      </c>
    </row>
    <row r="28" spans="2:23" ht="14.5" customHeight="1" x14ac:dyDescent="0.35">
      <c r="B28" s="8"/>
      <c r="C28" s="1" t="s">
        <v>6</v>
      </c>
      <c r="D28" s="29">
        <v>3.4</v>
      </c>
      <c r="E28" s="2">
        <v>1466640</v>
      </c>
      <c r="F28" s="15">
        <f t="shared" si="2"/>
        <v>1369684.6</v>
      </c>
      <c r="G28" s="16">
        <f t="shared" si="3"/>
        <v>7.0786661396353506E-2</v>
      </c>
      <c r="H28" s="17">
        <f t="shared" si="4"/>
        <v>5.3877367170780503E-2</v>
      </c>
      <c r="I28" s="18">
        <f t="shared" si="5"/>
        <v>1443479.6001023636</v>
      </c>
      <c r="J28" s="18">
        <f t="shared" si="6"/>
        <v>1295889.5998976366</v>
      </c>
      <c r="K28" s="15">
        <f t="shared" si="7"/>
        <v>96955.399999999907</v>
      </c>
      <c r="L28" s="19">
        <f t="shared" si="8"/>
        <v>23160.39989763638</v>
      </c>
      <c r="P28" t="s">
        <v>27</v>
      </c>
      <c r="U28" s="2">
        <f t="shared" si="9"/>
        <v>924275.8</v>
      </c>
      <c r="V28" s="20">
        <f t="shared" si="10"/>
        <v>0.90512701944592722</v>
      </c>
      <c r="W28" s="20">
        <f t="shared" si="11"/>
        <v>-9.4872980554072756E-2</v>
      </c>
    </row>
    <row r="29" spans="2:23" ht="14.5" customHeight="1" x14ac:dyDescent="0.35">
      <c r="B29" s="7"/>
      <c r="C29" s="30"/>
      <c r="E29" s="31"/>
      <c r="U29" s="2">
        <f t="shared" si="9"/>
        <v>737618.4</v>
      </c>
      <c r="V29" s="20">
        <f t="shared" si="10"/>
        <v>0.96194726161928712</v>
      </c>
      <c r="W29" s="20">
        <f t="shared" si="11"/>
        <v>-3.8052738380712874E-2</v>
      </c>
    </row>
    <row r="30" spans="2:23" ht="14.5" customHeight="1" x14ac:dyDescent="0.35">
      <c r="U30" s="2">
        <f t="shared" si="9"/>
        <v>721678.4</v>
      </c>
      <c r="V30" s="20">
        <f t="shared" si="10"/>
        <v>0.97041285980015468</v>
      </c>
      <c r="W30" s="20">
        <f t="shared" si="11"/>
        <v>-2.9587140199845281E-2</v>
      </c>
    </row>
    <row r="31" spans="2:23" ht="14.5" customHeight="1" x14ac:dyDescent="0.35">
      <c r="U31" s="2">
        <f t="shared" si="9"/>
        <v>688045</v>
      </c>
      <c r="V31" s="20">
        <f t="shared" si="10"/>
        <v>1.0685928972668939</v>
      </c>
      <c r="W31" s="20">
        <f t="shared" si="11"/>
        <v>6.8592897266893882E-2</v>
      </c>
    </row>
    <row r="32" spans="2:23" ht="14.5" customHeight="1" x14ac:dyDescent="0.35">
      <c r="U32" s="2">
        <f t="shared" si="9"/>
        <v>688045</v>
      </c>
      <c r="V32" s="20">
        <f t="shared" si="10"/>
        <v>1.0086535037679221</v>
      </c>
      <c r="W32" s="20">
        <f t="shared" si="11"/>
        <v>8.6535037679221563E-3</v>
      </c>
    </row>
    <row r="33" spans="2:23" ht="14.5" customHeight="1" x14ac:dyDescent="0.35">
      <c r="B33" s="32" t="s">
        <v>28</v>
      </c>
      <c r="C33" s="33"/>
      <c r="D33" s="33"/>
      <c r="E33" s="33"/>
      <c r="F33" s="33"/>
      <c r="G33" s="33"/>
      <c r="H33" s="33"/>
      <c r="I33" s="33"/>
      <c r="J33" s="33"/>
      <c r="K33" s="33"/>
      <c r="L33" s="34"/>
      <c r="U33" s="2">
        <f t="shared" si="9"/>
        <v>690595.4</v>
      </c>
      <c r="V33" s="20">
        <f t="shared" si="10"/>
        <v>0.98468654728948379</v>
      </c>
      <c r="W33" s="20">
        <f t="shared" si="11"/>
        <v>-1.5313452710516205E-2</v>
      </c>
    </row>
    <row r="34" spans="2:23" ht="30" customHeight="1" x14ac:dyDescent="0.35">
      <c r="B34" s="9" t="s">
        <v>17</v>
      </c>
      <c r="C34" s="9" t="s">
        <v>14</v>
      </c>
      <c r="D34" s="9" t="s">
        <v>15</v>
      </c>
      <c r="E34" s="9" t="s">
        <v>16</v>
      </c>
      <c r="F34" s="9" t="s">
        <v>18</v>
      </c>
      <c r="G34" s="9" t="s">
        <v>19</v>
      </c>
      <c r="H34" s="9" t="s">
        <v>20</v>
      </c>
      <c r="I34" s="9" t="s">
        <v>21</v>
      </c>
      <c r="J34" s="9" t="s">
        <v>22</v>
      </c>
      <c r="K34" s="10" t="s">
        <v>23</v>
      </c>
      <c r="L34" s="10" t="s">
        <v>24</v>
      </c>
      <c r="U34" s="2">
        <f t="shared" si="9"/>
        <v>703825.6</v>
      </c>
      <c r="V34" s="20">
        <f t="shared" si="10"/>
        <v>0.99725557012987309</v>
      </c>
      <c r="W34" s="20">
        <f t="shared" si="11"/>
        <v>-2.7444298701268847E-3</v>
      </c>
    </row>
    <row r="35" spans="2:23" ht="14.5" customHeight="1" x14ac:dyDescent="0.35">
      <c r="B35" s="21">
        <v>2025</v>
      </c>
      <c r="C35" s="1" t="s">
        <v>0</v>
      </c>
      <c r="D35" s="14">
        <v>218.5</v>
      </c>
      <c r="E35" s="2">
        <v>1145107</v>
      </c>
      <c r="F35" s="15">
        <f>$V$25*D35+$W$25</f>
        <v>1036334</v>
      </c>
      <c r="G35" s="16">
        <f>(E35-F35)/F35</f>
        <v>0.10495940497947573</v>
      </c>
      <c r="H35" s="17">
        <f t="shared" ref="H35:H53" si="12">STDEV($G$35:$G$46)</f>
        <v>5.4478405209733127E-2</v>
      </c>
      <c r="I35" s="18">
        <f>F35+F35*H35</f>
        <v>1092791.8235846236</v>
      </c>
      <c r="J35" s="18">
        <f>F35-H35*F35</f>
        <v>979876.17641537648</v>
      </c>
      <c r="K35" s="15">
        <f>E35-F35</f>
        <v>108773</v>
      </c>
      <c r="L35" s="19">
        <f>E35-I35</f>
        <v>52315.176415376365</v>
      </c>
      <c r="U35" s="2">
        <f t="shared" si="9"/>
        <v>780337.6</v>
      </c>
      <c r="V35" s="20">
        <f t="shared" si="10"/>
        <v>1.0004041840352176</v>
      </c>
      <c r="W35" s="20">
        <f t="shared" si="11"/>
        <v>4.0418403521760745E-4</v>
      </c>
    </row>
    <row r="36" spans="2:23" ht="14.5" customHeight="1" x14ac:dyDescent="0.35">
      <c r="B36" s="35"/>
      <c r="C36" s="1" t="s">
        <v>1</v>
      </c>
      <c r="D36" s="14">
        <v>204.4</v>
      </c>
      <c r="E36" s="2">
        <v>994435</v>
      </c>
      <c r="F36" s="15">
        <f t="shared" ref="F36:F53" si="13">$V$25*D36+$W$25</f>
        <v>1013858.6000000001</v>
      </c>
      <c r="G36" s="16">
        <f t="shared" ref="G36:G53" si="14">(E36-F36)/F36</f>
        <v>-1.915809561609488E-2</v>
      </c>
      <c r="H36" s="17">
        <f t="shared" si="12"/>
        <v>5.4478405209733127E-2</v>
      </c>
      <c r="I36" s="18">
        <f t="shared" ref="I36:I53" si="15">F36+F36*H36</f>
        <v>1069091.9996361728</v>
      </c>
      <c r="J36" s="18">
        <f t="shared" ref="J36:J53" si="16">F36-H36*F36</f>
        <v>958625.2003638274</v>
      </c>
      <c r="K36" s="15">
        <f t="shared" ref="K36:K53" si="17">E36-F36</f>
        <v>-19423.600000000093</v>
      </c>
      <c r="L36" s="19">
        <f t="shared" ref="L36:L53" si="18">E36-I36</f>
        <v>-74656.999636172783</v>
      </c>
      <c r="U36" s="2">
        <f t="shared" si="9"/>
        <v>813971</v>
      </c>
      <c r="V36" s="20">
        <f t="shared" si="10"/>
        <v>1.0586335385412995</v>
      </c>
      <c r="W36" s="20">
        <f t="shared" si="11"/>
        <v>5.8633538541299386E-2</v>
      </c>
    </row>
    <row r="37" spans="2:23" ht="14.5" customHeight="1" x14ac:dyDescent="0.35">
      <c r="B37" s="35"/>
      <c r="C37" s="1" t="s">
        <v>2</v>
      </c>
      <c r="D37" s="14">
        <v>148.19999999999999</v>
      </c>
      <c r="E37" s="2">
        <v>836587</v>
      </c>
      <c r="F37" s="15">
        <f t="shared" si="13"/>
        <v>924275.8</v>
      </c>
      <c r="G37" s="16">
        <f t="shared" si="14"/>
        <v>-9.4872980554072756E-2</v>
      </c>
      <c r="H37" s="17">
        <f t="shared" si="12"/>
        <v>5.4478405209733127E-2</v>
      </c>
      <c r="I37" s="18">
        <f t="shared" si="15"/>
        <v>974628.87155795028</v>
      </c>
      <c r="J37" s="18">
        <f t="shared" si="16"/>
        <v>873922.72844204982</v>
      </c>
      <c r="K37" s="15">
        <f t="shared" si="17"/>
        <v>-87688.800000000047</v>
      </c>
      <c r="L37" s="19">
        <f t="shared" si="18"/>
        <v>-138041.87155795028</v>
      </c>
      <c r="U37" s="2">
        <f t="shared" si="9"/>
        <v>1048767.2</v>
      </c>
      <c r="V37" s="20">
        <f t="shared" si="10"/>
        <v>0.96153083353483981</v>
      </c>
      <c r="W37" s="20">
        <f t="shared" si="11"/>
        <v>-3.8469166465160194E-2</v>
      </c>
    </row>
    <row r="38" spans="2:23" ht="14.5" customHeight="1" x14ac:dyDescent="0.35">
      <c r="B38" s="35"/>
      <c r="C38" s="1" t="s">
        <v>3</v>
      </c>
      <c r="D38" s="14">
        <v>31.1</v>
      </c>
      <c r="E38" s="2">
        <v>709550</v>
      </c>
      <c r="F38" s="15">
        <f t="shared" si="13"/>
        <v>737618.4</v>
      </c>
      <c r="G38" s="16">
        <f t="shared" si="14"/>
        <v>-3.8052738380712874E-2</v>
      </c>
      <c r="H38" s="17">
        <f t="shared" si="12"/>
        <v>5.4478405209733127E-2</v>
      </c>
      <c r="I38" s="18">
        <f t="shared" si="15"/>
        <v>777802.67408535501</v>
      </c>
      <c r="J38" s="18">
        <f t="shared" si="16"/>
        <v>697434.12591464503</v>
      </c>
      <c r="K38" s="15">
        <f t="shared" si="17"/>
        <v>-28068.400000000023</v>
      </c>
      <c r="L38" s="19">
        <f t="shared" si="18"/>
        <v>-68252.674085355015</v>
      </c>
    </row>
    <row r="39" spans="2:23" ht="14.5" customHeight="1" x14ac:dyDescent="0.35">
      <c r="B39" s="35"/>
      <c r="C39" s="1" t="s">
        <v>4</v>
      </c>
      <c r="D39" s="14">
        <v>21.1</v>
      </c>
      <c r="E39" s="2">
        <v>700326</v>
      </c>
      <c r="F39" s="15">
        <f t="shared" si="13"/>
        <v>721678.4</v>
      </c>
      <c r="G39" s="16">
        <f t="shared" si="14"/>
        <v>-2.9587140199845281E-2</v>
      </c>
      <c r="H39" s="17">
        <f t="shared" si="12"/>
        <v>5.4478405209733127E-2</v>
      </c>
      <c r="I39" s="18">
        <f t="shared" si="15"/>
        <v>760994.28830631194</v>
      </c>
      <c r="J39" s="18">
        <f t="shared" si="16"/>
        <v>682362.51169368811</v>
      </c>
      <c r="K39" s="15">
        <f t="shared" si="17"/>
        <v>-21352.400000000023</v>
      </c>
      <c r="L39" s="19">
        <f t="shared" si="18"/>
        <v>-60668.288306311937</v>
      </c>
    </row>
    <row r="40" spans="2:23" x14ac:dyDescent="0.35">
      <c r="B40" s="35"/>
      <c r="C40" s="1" t="s">
        <v>5</v>
      </c>
      <c r="D40" s="14">
        <v>0</v>
      </c>
      <c r="E40" s="2">
        <v>735240</v>
      </c>
      <c r="F40" s="15">
        <f t="shared" si="13"/>
        <v>688045</v>
      </c>
      <c r="G40" s="16">
        <f t="shared" si="14"/>
        <v>6.8592897266893882E-2</v>
      </c>
      <c r="H40" s="17">
        <f t="shared" si="12"/>
        <v>5.4478405209733127E-2</v>
      </c>
      <c r="I40" s="18">
        <f t="shared" si="15"/>
        <v>725528.59431253083</v>
      </c>
      <c r="J40" s="18">
        <f t="shared" si="16"/>
        <v>650561.40568746917</v>
      </c>
      <c r="K40" s="15">
        <f t="shared" si="17"/>
        <v>47195</v>
      </c>
      <c r="L40" s="19">
        <f t="shared" si="18"/>
        <v>9711.4056874691742</v>
      </c>
    </row>
    <row r="41" spans="2:23" x14ac:dyDescent="0.35">
      <c r="B41" s="35"/>
      <c r="C41" s="1" t="s">
        <v>6</v>
      </c>
      <c r="D41" s="14">
        <v>0</v>
      </c>
      <c r="E41" s="2">
        <v>693999</v>
      </c>
      <c r="F41" s="15">
        <f t="shared" si="13"/>
        <v>688045</v>
      </c>
      <c r="G41" s="16">
        <f t="shared" si="14"/>
        <v>8.6535037679221563E-3</v>
      </c>
      <c r="H41" s="17">
        <f t="shared" si="12"/>
        <v>5.4478405209733127E-2</v>
      </c>
      <c r="I41" s="18">
        <f t="shared" si="15"/>
        <v>725528.59431253083</v>
      </c>
      <c r="J41" s="18">
        <f t="shared" si="16"/>
        <v>650561.40568746917</v>
      </c>
      <c r="K41" s="15">
        <f t="shared" si="17"/>
        <v>5954</v>
      </c>
      <c r="L41" s="19">
        <f t="shared" si="18"/>
        <v>-31529.594312530826</v>
      </c>
    </row>
    <row r="42" spans="2:23" x14ac:dyDescent="0.35">
      <c r="B42" s="35"/>
      <c r="C42" s="1" t="s">
        <v>7</v>
      </c>
      <c r="D42" s="14">
        <v>1.6</v>
      </c>
      <c r="E42" s="2">
        <v>680020</v>
      </c>
      <c r="F42" s="15">
        <f t="shared" si="13"/>
        <v>690595.4</v>
      </c>
      <c r="G42" s="16">
        <f t="shared" si="14"/>
        <v>-1.5313452710516205E-2</v>
      </c>
      <c r="H42" s="17">
        <f t="shared" si="12"/>
        <v>5.4478405209733127E-2</v>
      </c>
      <c r="I42" s="18">
        <f t="shared" si="15"/>
        <v>728217.9360371778</v>
      </c>
      <c r="J42" s="18">
        <f t="shared" si="16"/>
        <v>652972.86396282224</v>
      </c>
      <c r="K42" s="15">
        <f t="shared" si="17"/>
        <v>-10575.400000000023</v>
      </c>
      <c r="L42" s="19">
        <f t="shared" si="18"/>
        <v>-48197.936037177802</v>
      </c>
    </row>
    <row r="43" spans="2:23" x14ac:dyDescent="0.35">
      <c r="B43" s="35"/>
      <c r="C43" s="1" t="s">
        <v>8</v>
      </c>
      <c r="D43" s="14">
        <v>9.9</v>
      </c>
      <c r="E43" s="2">
        <v>701894</v>
      </c>
      <c r="F43" s="15">
        <f t="shared" si="13"/>
        <v>703825.6</v>
      </c>
      <c r="G43" s="16">
        <f t="shared" si="14"/>
        <v>-2.7444298701268847E-3</v>
      </c>
      <c r="H43" s="17">
        <f t="shared" si="12"/>
        <v>5.4478405209733127E-2</v>
      </c>
      <c r="I43" s="18">
        <f t="shared" si="15"/>
        <v>742168.89623378357</v>
      </c>
      <c r="J43" s="18">
        <f t="shared" si="16"/>
        <v>665482.30376621638</v>
      </c>
      <c r="K43" s="15">
        <f t="shared" si="17"/>
        <v>-1931.5999999999767</v>
      </c>
      <c r="L43" s="19">
        <f t="shared" si="18"/>
        <v>-40274.896233783569</v>
      </c>
    </row>
    <row r="44" spans="2:23" x14ac:dyDescent="0.35">
      <c r="B44" s="35"/>
      <c r="C44" s="1" t="s">
        <v>9</v>
      </c>
      <c r="D44" s="14">
        <v>57.9</v>
      </c>
      <c r="E44" s="2">
        <v>780653</v>
      </c>
      <c r="F44" s="15">
        <f t="shared" si="13"/>
        <v>780337.6</v>
      </c>
      <c r="G44" s="16">
        <f t="shared" si="14"/>
        <v>4.0418403521760745E-4</v>
      </c>
      <c r="H44" s="17">
        <f t="shared" si="12"/>
        <v>5.4478405209733127E-2</v>
      </c>
      <c r="I44" s="18">
        <f t="shared" si="15"/>
        <v>822849.14797319064</v>
      </c>
      <c r="J44" s="18">
        <f t="shared" si="16"/>
        <v>737826.05202680931</v>
      </c>
      <c r="K44" s="15">
        <f t="shared" si="17"/>
        <v>315.40000000002328</v>
      </c>
      <c r="L44" s="19">
        <f t="shared" si="18"/>
        <v>-42196.147973190644</v>
      </c>
    </row>
    <row r="45" spans="2:23" x14ac:dyDescent="0.35">
      <c r="B45" s="35"/>
      <c r="C45" s="1" t="s">
        <v>10</v>
      </c>
      <c r="D45" s="14">
        <v>79</v>
      </c>
      <c r="E45" s="2">
        <v>861697</v>
      </c>
      <c r="F45" s="15">
        <f t="shared" si="13"/>
        <v>813971</v>
      </c>
      <c r="G45" s="16">
        <f t="shared" si="14"/>
        <v>5.8633538541299386E-2</v>
      </c>
      <c r="H45" s="17">
        <f t="shared" si="12"/>
        <v>5.4478405209733127E-2</v>
      </c>
      <c r="I45" s="18">
        <f t="shared" si="15"/>
        <v>858314.84196697164</v>
      </c>
      <c r="J45" s="18">
        <f t="shared" si="16"/>
        <v>769627.15803302836</v>
      </c>
      <c r="K45" s="15">
        <f t="shared" si="17"/>
        <v>47726</v>
      </c>
      <c r="L45" s="19">
        <f t="shared" si="18"/>
        <v>3382.1580330283614</v>
      </c>
    </row>
    <row r="46" spans="2:23" x14ac:dyDescent="0.35">
      <c r="B46" s="36"/>
      <c r="C46" s="1" t="s">
        <v>11</v>
      </c>
      <c r="D46" s="14">
        <v>226.3</v>
      </c>
      <c r="E46" s="2">
        <v>1008422</v>
      </c>
      <c r="F46" s="15">
        <f t="shared" si="13"/>
        <v>1048767.2</v>
      </c>
      <c r="G46" s="16">
        <f t="shared" si="14"/>
        <v>-3.8469166465160194E-2</v>
      </c>
      <c r="H46" s="17">
        <f t="shared" si="12"/>
        <v>5.4478405209733127E-2</v>
      </c>
      <c r="I46" s="18">
        <f t="shared" si="15"/>
        <v>1105902.3644922771</v>
      </c>
      <c r="J46" s="18">
        <f t="shared" si="16"/>
        <v>991632.03550772276</v>
      </c>
      <c r="K46" s="15">
        <f t="shared" si="17"/>
        <v>-40345.199999999953</v>
      </c>
      <c r="L46" s="19">
        <f t="shared" si="18"/>
        <v>-97480.364492277149</v>
      </c>
    </row>
    <row r="47" spans="2:23" x14ac:dyDescent="0.35">
      <c r="B47" s="8">
        <v>2026</v>
      </c>
      <c r="C47" s="1" t="s">
        <v>0</v>
      </c>
      <c r="D47" s="29">
        <v>191.6</v>
      </c>
      <c r="E47" s="2">
        <v>1050710</v>
      </c>
      <c r="F47" s="15">
        <f t="shared" si="13"/>
        <v>993455.39999999991</v>
      </c>
      <c r="G47" s="16">
        <f t="shared" si="14"/>
        <v>5.7631776927278368E-2</v>
      </c>
      <c r="H47" s="17">
        <f t="shared" si="12"/>
        <v>5.4478405209733127E-2</v>
      </c>
      <c r="I47" s="18">
        <f t="shared" si="15"/>
        <v>1047577.2658389974</v>
      </c>
      <c r="J47" s="18">
        <f t="shared" si="16"/>
        <v>939333.53416100238</v>
      </c>
      <c r="K47" s="15">
        <f t="shared" si="17"/>
        <v>57254.600000000093</v>
      </c>
      <c r="L47" s="19">
        <f t="shared" si="18"/>
        <v>3132.7341610025615</v>
      </c>
      <c r="M47" t="s">
        <v>29</v>
      </c>
    </row>
    <row r="48" spans="2:23" x14ac:dyDescent="0.35">
      <c r="B48" s="8"/>
      <c r="C48" s="1" t="s">
        <v>1</v>
      </c>
      <c r="D48" s="29">
        <v>179</v>
      </c>
      <c r="E48" s="2">
        <v>919805</v>
      </c>
      <c r="F48" s="15">
        <f t="shared" si="13"/>
        <v>973371</v>
      </c>
      <c r="G48" s="16">
        <f t="shared" si="14"/>
        <v>-5.5031432002802631E-2</v>
      </c>
      <c r="H48" s="17">
        <f t="shared" si="12"/>
        <v>5.4478405209733127E-2</v>
      </c>
      <c r="I48" s="18">
        <f t="shared" si="15"/>
        <v>1026398.6997574031</v>
      </c>
      <c r="J48" s="18">
        <f t="shared" si="16"/>
        <v>920343.30024259689</v>
      </c>
      <c r="K48" s="15">
        <f t="shared" si="17"/>
        <v>-53566</v>
      </c>
      <c r="L48" s="19">
        <f t="shared" si="18"/>
        <v>-106593.69975740311</v>
      </c>
    </row>
    <row r="49" spans="2:12" x14ac:dyDescent="0.35">
      <c r="B49" s="8"/>
      <c r="C49" s="1" t="s">
        <v>2</v>
      </c>
      <c r="D49" s="29">
        <v>139</v>
      </c>
      <c r="E49" s="2">
        <v>933009</v>
      </c>
      <c r="F49" s="15">
        <f t="shared" si="13"/>
        <v>909611</v>
      </c>
      <c r="G49" s="16">
        <f t="shared" si="14"/>
        <v>2.5723083823744435E-2</v>
      </c>
      <c r="H49" s="17">
        <f t="shared" si="12"/>
        <v>5.4478405209733127E-2</v>
      </c>
      <c r="I49" s="18">
        <f t="shared" si="15"/>
        <v>959165.15664123057</v>
      </c>
      <c r="J49" s="18">
        <f t="shared" si="16"/>
        <v>860056.84335876943</v>
      </c>
      <c r="K49" s="15">
        <f t="shared" si="17"/>
        <v>23398</v>
      </c>
      <c r="L49" s="19">
        <f t="shared" si="18"/>
        <v>-26156.156641230569</v>
      </c>
    </row>
    <row r="50" spans="2:12" x14ac:dyDescent="0.35">
      <c r="B50" s="8"/>
      <c r="C50" s="1" t="s">
        <v>3</v>
      </c>
      <c r="D50" s="29">
        <v>63.3</v>
      </c>
      <c r="E50" s="2">
        <v>778800</v>
      </c>
      <c r="F50" s="15">
        <f t="shared" si="13"/>
        <v>788945.2</v>
      </c>
      <c r="G50" s="16">
        <f t="shared" si="14"/>
        <v>-1.2859194783110353E-2</v>
      </c>
      <c r="H50" s="17">
        <f t="shared" si="12"/>
        <v>5.4478405209733127E-2</v>
      </c>
      <c r="I50" s="18">
        <f t="shared" si="15"/>
        <v>831925.67629387393</v>
      </c>
      <c r="J50" s="18">
        <f t="shared" si="16"/>
        <v>745964.72370612598</v>
      </c>
      <c r="K50" s="15">
        <f t="shared" si="17"/>
        <v>-10145.199999999953</v>
      </c>
      <c r="L50" s="19">
        <f t="shared" si="18"/>
        <v>-53125.676293873927</v>
      </c>
    </row>
    <row r="51" spans="2:12" x14ac:dyDescent="0.35">
      <c r="B51" s="8"/>
      <c r="C51" s="1" t="s">
        <v>4</v>
      </c>
      <c r="D51" s="29">
        <v>6.5</v>
      </c>
      <c r="E51" s="2">
        <v>672246</v>
      </c>
      <c r="F51" s="15">
        <f t="shared" si="13"/>
        <v>698406</v>
      </c>
      <c r="G51" s="16">
        <f t="shared" si="14"/>
        <v>-3.7456722880387629E-2</v>
      </c>
      <c r="H51" s="17">
        <f t="shared" si="12"/>
        <v>5.4478405209733127E-2</v>
      </c>
      <c r="I51" s="18">
        <f t="shared" si="15"/>
        <v>736454.04506890883</v>
      </c>
      <c r="J51" s="18">
        <f t="shared" si="16"/>
        <v>660357.95493109117</v>
      </c>
      <c r="K51" s="15">
        <f t="shared" si="17"/>
        <v>-26160</v>
      </c>
      <c r="L51" s="19">
        <f t="shared" si="18"/>
        <v>-64208.045068908832</v>
      </c>
    </row>
    <row r="52" spans="2:12" x14ac:dyDescent="0.35">
      <c r="B52" s="8"/>
      <c r="C52" s="1" t="s">
        <v>5</v>
      </c>
      <c r="D52" s="29">
        <v>0.1</v>
      </c>
      <c r="E52" s="2">
        <v>711407</v>
      </c>
      <c r="F52" s="15">
        <f t="shared" si="13"/>
        <v>688204.4</v>
      </c>
      <c r="G52" s="16">
        <f t="shared" si="14"/>
        <v>3.3714692902283065E-2</v>
      </c>
      <c r="H52" s="17">
        <f t="shared" si="12"/>
        <v>5.4478405209733127E-2</v>
      </c>
      <c r="I52" s="18">
        <f t="shared" si="15"/>
        <v>725696.67817032128</v>
      </c>
      <c r="J52" s="18">
        <f t="shared" si="16"/>
        <v>650712.12182967877</v>
      </c>
      <c r="K52" s="15">
        <f t="shared" si="17"/>
        <v>23202.599999999977</v>
      </c>
      <c r="L52" s="19">
        <f t="shared" si="18"/>
        <v>-14289.678170321276</v>
      </c>
    </row>
    <row r="53" spans="2:12" x14ac:dyDescent="0.35">
      <c r="B53" s="8"/>
      <c r="C53" s="1" t="s">
        <v>6</v>
      </c>
      <c r="D53" s="29">
        <v>3.4</v>
      </c>
      <c r="E53" s="2">
        <v>659204</v>
      </c>
      <c r="F53" s="15">
        <f t="shared" si="13"/>
        <v>693464.6</v>
      </c>
      <c r="G53" s="16">
        <f t="shared" si="14"/>
        <v>-4.9404973231510274E-2</v>
      </c>
      <c r="H53" s="17">
        <f t="shared" si="12"/>
        <v>5.4478405209733127E-2</v>
      </c>
      <c r="I53" s="18">
        <f t="shared" si="15"/>
        <v>731243.44547740545</v>
      </c>
      <c r="J53" s="18">
        <f t="shared" si="16"/>
        <v>655685.75452259451</v>
      </c>
      <c r="K53" s="15">
        <f t="shared" si="17"/>
        <v>-34260.599999999977</v>
      </c>
      <c r="L53" s="19">
        <f t="shared" si="18"/>
        <v>-72039.445477405447</v>
      </c>
    </row>
  </sheetData>
  <mergeCells count="8">
    <mergeCell ref="B47:B53"/>
    <mergeCell ref="B33:L33"/>
    <mergeCell ref="B35:B46"/>
    <mergeCell ref="B22:B28"/>
    <mergeCell ref="U24:W24"/>
    <mergeCell ref="U8:W8"/>
    <mergeCell ref="B10:B21"/>
    <mergeCell ref="B8:L8"/>
  </mergeCells>
  <conditionalFormatting sqref="G10:G28">
    <cfRule type="cellIs" dxfId="4" priority="5" operator="lessThan">
      <formula>0</formula>
    </cfRule>
  </conditionalFormatting>
  <conditionalFormatting sqref="G35:G53">
    <cfRule type="cellIs" dxfId="3" priority="4" operator="lessThan">
      <formula>0</formula>
    </cfRule>
  </conditionalFormatting>
  <conditionalFormatting sqref="L10:L20">
    <cfRule type="cellIs" dxfId="2" priority="1" operator="greaterThan">
      <formula>0</formula>
    </cfRule>
  </conditionalFormatting>
  <conditionalFormatting sqref="L22:L28">
    <cfRule type="cellIs" dxfId="1" priority="2" operator="greaterThan">
      <formula>0</formula>
    </cfRule>
  </conditionalFormatting>
  <conditionalFormatting sqref="L35:L53">
    <cfRule type="cellIs" dxfId="0" priority="3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 Base Eléctrica (AEP)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Muntane, Martin</dc:creator>
  <cp:lastModifiedBy>Muntane, Martin</cp:lastModifiedBy>
  <dcterms:created xsi:type="dcterms:W3CDTF">2026-09-30T02:55:49Z</dcterms:created>
  <dcterms:modified xsi:type="dcterms:W3CDTF">2026-09-30T03:24:56Z</dcterms:modified>
</cp:coreProperties>
</file>